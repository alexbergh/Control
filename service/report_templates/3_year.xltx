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/>
  <workbookPr filterPrivacy="1" codeName="ЭтаКнига"/>
  <bookViews>
    <workbookView xWindow="0" yWindow="0" windowWidth="22260" windowHeight="12645" activeTab="12"/>
  </bookViews>
  <sheets>
    <sheet name="январь" sheetId="1" r:id="rId1"/>
    <sheet name="февраль" sheetId="23" r:id="rId2"/>
    <sheet name="март" sheetId="22" r:id="rId3"/>
    <sheet name="апрель" sheetId="21" r:id="rId4"/>
    <sheet name="май" sheetId="20" r:id="rId5"/>
    <sheet name="июнь" sheetId="19" r:id="rId6"/>
    <sheet name="июль" sheetId="18" r:id="rId7"/>
    <sheet name="август" sheetId="17" r:id="rId8"/>
    <sheet name="сентябрь" sheetId="16" r:id="rId9"/>
    <sheet name="октябрь" sheetId="15" r:id="rId10"/>
    <sheet name="ноябрь" sheetId="14" r:id="rId11"/>
    <sheet name="декабрь" sheetId="24" r:id="rId12"/>
    <sheet name="итоги" sheetId="13" r:id="rId13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4"/>
  <c r="E3"/>
  <c r="D3"/>
  <c r="C3"/>
  <c r="G3" s="1"/>
  <c r="B3"/>
  <c r="G2"/>
  <c r="F3" i="23"/>
  <c r="E3"/>
  <c r="D3"/>
  <c r="C3"/>
  <c r="G3" s="1"/>
  <c r="B3"/>
  <c r="G2"/>
  <c r="F3" i="22"/>
  <c r="E3"/>
  <c r="D3"/>
  <c r="C3"/>
  <c r="G3" s="1"/>
  <c r="B3"/>
  <c r="G2"/>
  <c r="F3" i="21"/>
  <c r="E3"/>
  <c r="D3"/>
  <c r="C3"/>
  <c r="G3" s="1"/>
  <c r="B3"/>
  <c r="G2"/>
  <c r="F3" i="20"/>
  <c r="E3"/>
  <c r="D3"/>
  <c r="C3"/>
  <c r="G3" s="1"/>
  <c r="B3"/>
  <c r="G2"/>
  <c r="F3" i="19"/>
  <c r="E3"/>
  <c r="D3"/>
  <c r="C3"/>
  <c r="G3" s="1"/>
  <c r="B3"/>
  <c r="G2"/>
  <c r="F3" i="18"/>
  <c r="E3"/>
  <c r="D3"/>
  <c r="C3"/>
  <c r="G3" s="1"/>
  <c r="B3"/>
  <c r="G2"/>
  <c r="F3" i="17"/>
  <c r="E3"/>
  <c r="D3"/>
  <c r="C3"/>
  <c r="G3" s="1"/>
  <c r="B3"/>
  <c r="G2"/>
  <c r="F3" i="16"/>
  <c r="E3"/>
  <c r="D3"/>
  <c r="C3"/>
  <c r="G3" s="1"/>
  <c r="B3"/>
  <c r="G2"/>
  <c r="F3" i="15"/>
  <c r="E3"/>
  <c r="D3"/>
  <c r="C3"/>
  <c r="G3" s="1"/>
  <c r="B3"/>
  <c r="G2"/>
  <c r="F3" i="14"/>
  <c r="E3"/>
  <c r="D3"/>
  <c r="C3"/>
  <c r="G3" s="1"/>
  <c r="B3"/>
  <c r="G2"/>
  <c r="B3" i="1"/>
  <c r="G2"/>
  <c r="F3" l="1"/>
  <c r="E3"/>
  <c r="D3"/>
  <c r="B3" i="13" s="1"/>
  <c r="C3" i="1"/>
  <c r="G3" l="1"/>
  <c r="B2" i="13"/>
  <c r="B4" s="1"/>
</calcChain>
</file>

<file path=xl/sharedStrings.xml><?xml version="1.0" encoding="utf-8"?>
<sst xmlns="http://schemas.openxmlformats.org/spreadsheetml/2006/main" count="100" uniqueCount="11">
  <si>
    <t>Структурное подразделение</t>
  </si>
  <si>
    <t>Выполнено</t>
  </si>
  <si>
    <t>% выполнения</t>
  </si>
  <si>
    <t>Итог</t>
  </si>
  <si>
    <t>отчетный период</t>
  </si>
  <si>
    <t>всего замечаний</t>
  </si>
  <si>
    <t>Устранено</t>
  </si>
  <si>
    <t>Активные</t>
  </si>
  <si>
    <t>Просроченные</t>
  </si>
  <si>
    <t>Проверок</t>
  </si>
  <si>
    <t>Замечаний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</si>
</sst>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2"/>
      <color rgb="FF000000"/>
      <name val="Times New Roman"/>
      <family val="1"/>
      <charset val="204"/>
    </font>
    <font>
      <sz val="12"/>
      <color rgb="FF000000"/>
      <name val="Times New Roman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1" fontId="0" fillId="0" borderId="0" xfId="0" applyNumberFormat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1" fontId="1" fillId="0" borderId="5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vertical="center"/>
    </xf>
    <xf numFmtId="1" fontId="1" fillId="0" borderId="1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</cellXfs>
  <cellStyles count="1">
    <cellStyle name="Обычный" xfId="0" builtinId="0"/>
  </cellStyles>
  <dxfs count="2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medium">
          <color rgb="FF000000"/>
        </top>
        <vertical/>
        <horizontal/>
      </border>
    </dxf>
    <dxf>
      <border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1" indent="0" relativeIndent="255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border>
        <top style="medium">
          <color rgb="FF000000"/>
        </top>
        <vertical/>
        <horizontal/>
      </border>
    </dxf>
    <dxf>
      <border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1" indent="0" relativeIndent="255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border>
        <top style="medium">
          <color rgb="FF000000"/>
        </top>
        <vertical/>
        <horizontal/>
      </border>
    </dxf>
    <dxf>
      <border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1" indent="0" relativeIndent="255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border>
        <top style="medium">
          <color rgb="FF000000"/>
        </top>
        <vertical/>
        <horizontal/>
      </border>
    </dxf>
    <dxf>
      <border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1" indent="0" relativeIndent="255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border>
        <top style="medium">
          <color rgb="FF000000"/>
        </top>
        <vertical/>
        <horizontal/>
      </border>
    </dxf>
    <dxf>
      <border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1" indent="0" relativeIndent="255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border>
        <top style="medium">
          <color rgb="FF000000"/>
        </top>
        <vertical/>
        <horizontal/>
      </border>
    </dxf>
    <dxf>
      <border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1" indent="0" relativeIndent="255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border>
        <top style="medium">
          <color rgb="FF000000"/>
        </top>
        <vertical/>
        <horizontal/>
      </border>
    </dxf>
    <dxf>
      <border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1" indent="0" relativeIndent="255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border>
        <top style="medium">
          <color rgb="FF000000"/>
        </top>
        <vertical/>
        <horizontal/>
      </border>
    </dxf>
    <dxf>
      <border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1" indent="0" relativeIndent="255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border>
        <top style="medium">
          <color rgb="FF000000"/>
        </top>
        <vertical/>
        <horizontal/>
      </border>
    </dxf>
    <dxf>
      <border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1" indent="0" relativeIndent="255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border>
        <top style="medium">
          <color rgb="FF000000"/>
        </top>
        <vertical/>
        <horizontal/>
      </border>
    </dxf>
    <dxf>
      <border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1" indent="0" relativeIndent="255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border>
        <top style="medium">
          <color rgb="FF000000"/>
        </top>
        <vertical/>
        <horizontal/>
      </border>
    </dxf>
    <dxf>
      <border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1" indent="0" relativeIndent="255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1" indent="0" relativeIndent="255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relativeIndent="0" justifyLastLine="0" shrinkToFit="0" mergeCell="0" readingOrder="0"/>
    </dxf>
    <dxf>
      <border>
        <bottom style="medium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bl_1" displayName="tbl_1" ref="A1:G3" totalsRowCount="1" headerRowDxfId="211" dataDxfId="214" headerRowBorderDxfId="215" totalsRowBorderDxfId="213">
  <autoFilter ref="A1:G2">
    <filterColumn colId="1"/>
  </autoFilter>
  <tableColumns count="7">
    <tableColumn id="1" name="Структурное подразделение" totalsRowLabel="Итог" dataDxfId="83" totalsRowDxfId="212"/>
    <tableColumn id="7" name="Проверок" totalsRowFunction="sum" dataDxfId="82" totalsRowDxfId="210"/>
    <tableColumn id="2" name="Замечаний" totalsRowFunction="sum" dataDxfId="81" totalsRowDxfId="209"/>
    <tableColumn id="3" name="Устранено" totalsRowFunction="sum" dataDxfId="80" totalsRowDxfId="208"/>
    <tableColumn id="4" name="Активные" totalsRowFunction="sum" dataDxfId="79" totalsRowDxfId="207"/>
    <tableColumn id="5" name="Просроченные" totalsRowFunction="sum" dataDxfId="78" totalsRowDxfId="206"/>
    <tableColumn id="6" name="% выполнения" totalsRowFunction="custom" dataDxfId="77" totalsRowDxfId="205">
      <calculatedColumnFormula>IF([Замечаний]=0,0,[Устранено]/[Замечаний]*100)</calculatedColumnFormula>
      <totalsRowFormula>IF(tbl_1[[#Totals],[Замечаний]]=0,0,tbl_1[[#Totals],[Устранено]]/tbl_1[[#Totals],[Замечаний]]*100)</totalsRow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1" name="tbl_2" displayName="tbl_2" ref="A1:G3" totalsRowCount="1" headerRowDxfId="98" dataDxfId="97" headerRowBorderDxfId="96" totalsRowBorderDxfId="95">
  <autoFilter ref="A1:G3">
    <filterColumn colId="1"/>
  </autoFilter>
  <tableColumns count="7">
    <tableColumn id="1" name="Структурное подразделение" totalsRowLabel="Итог" dataDxfId="76" totalsRowDxfId="105"/>
    <tableColumn id="7" name="Проверок" totalsRowFunction="sum" dataDxfId="75" totalsRowDxfId="104"/>
    <tableColumn id="2" name="Замечаний" totalsRowFunction="sum" dataDxfId="74" totalsRowDxfId="103"/>
    <tableColumn id="3" name="Устранено" totalsRowFunction="sum" dataDxfId="73" totalsRowDxfId="102"/>
    <tableColumn id="4" name="Активные" totalsRowFunction="sum" dataDxfId="72" totalsRowDxfId="101"/>
    <tableColumn id="5" name="Просроченные" totalsRowFunction="sum" dataDxfId="71" totalsRowDxfId="100"/>
    <tableColumn id="6" name="% выполнения" totalsRowFunction="custom" dataDxfId="70" totalsRowDxfId="99">
      <calculatedColumnFormula>IF([Замечаний]=0,0,[Устранено]/[Замечаний]*100)</calculatedColumnFormula>
      <totalsRowFormula>IF(tbl_2[[#Totals],[Замечаний]]=0,0,tbl_2[[#Totals],[Устранено]]/tbl_2[[#Totals],[Замечаний]]*100)</totalsRowFormula>
    </tableColumn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10" name="tbl_3" displayName="tbl_3" ref="A1:G3" totalsRowCount="1" headerRowDxfId="109" dataDxfId="108" headerRowBorderDxfId="107" totalsRowBorderDxfId="106">
  <autoFilter ref="A1:G3">
    <filterColumn colId="1"/>
  </autoFilter>
  <tableColumns count="7">
    <tableColumn id="1" name="Структурное подразделение" totalsRowLabel="Итог" dataDxfId="69" totalsRowDxfId="116"/>
    <tableColumn id="7" name="Проверок" totalsRowFunction="sum" dataDxfId="68" totalsRowDxfId="115"/>
    <tableColumn id="2" name="Замечаний" totalsRowFunction="sum" dataDxfId="67" totalsRowDxfId="114"/>
    <tableColumn id="3" name="Устранено" totalsRowFunction="sum" dataDxfId="66" totalsRowDxfId="113"/>
    <tableColumn id="4" name="Активные" totalsRowFunction="sum" dataDxfId="65" totalsRowDxfId="112"/>
    <tableColumn id="5" name="Просроченные" totalsRowFunction="sum" dataDxfId="64" totalsRowDxfId="111"/>
    <tableColumn id="6" name="% выполнения" totalsRowFunction="custom" dataDxfId="63" totalsRowDxfId="110">
      <calculatedColumnFormula>IF([Замечаний]=0,0,[Устранено]/[Замечаний]*100)</calculatedColumnFormula>
      <totalsRowFormula>IF(tbl_3[[#Totals],[Замечаний]]=0,0,tbl_3[[#Totals],[Устранено]]/tbl_3[[#Totals],[Замечаний]]*100)</totalsRowFormula>
    </tableColumn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id="9" name="tbl_4" displayName="tbl_4" ref="A1:G3" totalsRowCount="1" headerRowDxfId="120" dataDxfId="119" headerRowBorderDxfId="118" totalsRowBorderDxfId="117">
  <autoFilter ref="A1:G3">
    <filterColumn colId="1"/>
  </autoFilter>
  <tableColumns count="7">
    <tableColumn id="1" name="Структурное подразделение" totalsRowLabel="Итог" dataDxfId="62" totalsRowDxfId="127"/>
    <tableColumn id="7" name="Проверок" totalsRowFunction="sum" dataDxfId="61" totalsRowDxfId="126"/>
    <tableColumn id="2" name="Замечаний" totalsRowFunction="sum" dataDxfId="60" totalsRowDxfId="125"/>
    <tableColumn id="3" name="Устранено" totalsRowFunction="sum" dataDxfId="59" totalsRowDxfId="124"/>
    <tableColumn id="4" name="Активные" totalsRowFunction="sum" dataDxfId="58" totalsRowDxfId="123"/>
    <tableColumn id="5" name="Просроченные" totalsRowFunction="sum" dataDxfId="57" totalsRowDxfId="122"/>
    <tableColumn id="6" name="% выполнения" totalsRowFunction="custom" dataDxfId="56" totalsRowDxfId="121">
      <calculatedColumnFormula>IF([Замечаний]=0,0,[Устранено]/[Замечаний]*100)</calculatedColumnFormula>
      <totalsRowFormula>IF(tbl_4[[#Totals],[Замечаний]]=0,0,tbl_4[[#Totals],[Устранено]]/tbl_4[[#Totals],[Замечаний]]*100)</totalsRow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id="8" name="tbl_5" displayName="tbl_5" ref="A1:G3" totalsRowCount="1" headerRowDxfId="131" dataDxfId="130" headerRowBorderDxfId="129" totalsRowBorderDxfId="128">
  <autoFilter ref="A1:G3">
    <filterColumn colId="1"/>
  </autoFilter>
  <tableColumns count="7">
    <tableColumn id="1" name="Структурное подразделение" totalsRowLabel="Итог" dataDxfId="55" totalsRowDxfId="138"/>
    <tableColumn id="7" name="Проверок" totalsRowFunction="sum" dataDxfId="54" totalsRowDxfId="137"/>
    <tableColumn id="2" name="Замечаний" totalsRowFunction="sum" dataDxfId="53" totalsRowDxfId="136"/>
    <tableColumn id="3" name="Устранено" totalsRowFunction="sum" dataDxfId="52" totalsRowDxfId="135"/>
    <tableColumn id="4" name="Активные" totalsRowFunction="sum" dataDxfId="51" totalsRowDxfId="134"/>
    <tableColumn id="5" name="Просроченные" totalsRowFunction="sum" dataDxfId="50" totalsRowDxfId="133"/>
    <tableColumn id="6" name="% выполнения" totalsRowFunction="custom" dataDxfId="49" totalsRowDxfId="132">
      <calculatedColumnFormula>IF([Замечаний]=0,0,[Устранено]/[Замечаний]*100)</calculatedColumnFormula>
      <totalsRowFormula>IF(tbl_5[[#Totals],[Замечаний]]=0,0,tbl_5[[#Totals],[Устранено]]/tbl_5[[#Totals],[Замечаний]]*100)</totalsRowFormula>
    </tableColumn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id="7" name="tbl_6" displayName="tbl_6" ref="A1:G3" totalsRowCount="1" headerRowDxfId="142" dataDxfId="141" headerRowBorderDxfId="140" totalsRowBorderDxfId="139">
  <autoFilter ref="A1:G3">
    <filterColumn colId="1"/>
  </autoFilter>
  <tableColumns count="7">
    <tableColumn id="1" name="Структурное подразделение" totalsRowLabel="Итог" dataDxfId="48" totalsRowDxfId="149"/>
    <tableColumn id="7" name="Проверок" totalsRowFunction="sum" dataDxfId="47" totalsRowDxfId="148"/>
    <tableColumn id="2" name="Замечаний" totalsRowFunction="sum" dataDxfId="46" totalsRowDxfId="147"/>
    <tableColumn id="3" name="Устранено" totalsRowFunction="sum" dataDxfId="45" totalsRowDxfId="146"/>
    <tableColumn id="4" name="Активные" totalsRowFunction="sum" dataDxfId="44" totalsRowDxfId="145"/>
    <tableColumn id="5" name="Просроченные" totalsRowFunction="sum" dataDxfId="43" totalsRowDxfId="144"/>
    <tableColumn id="6" name="% выполнения" totalsRowFunction="custom" dataDxfId="42" totalsRowDxfId="143">
      <calculatedColumnFormula>IF([Замечаний]=0,0,[Устранено]/[Замечаний]*100)</calculatedColumnFormula>
      <totalsRowFormula>IF(tbl_6[[#Totals],[Замечаний]]=0,0,tbl_6[[#Totals],[Устранено]]/tbl_6[[#Totals],[Замечаний]]*100)</totalsRowFormula>
    </tableColumn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id="6" name="tbl_7" displayName="tbl_7" ref="A1:G3" totalsRowCount="1" headerRowDxfId="153" dataDxfId="152" headerRowBorderDxfId="151" totalsRowBorderDxfId="150">
  <autoFilter ref="A1:G3">
    <filterColumn colId="1"/>
  </autoFilter>
  <tableColumns count="7">
    <tableColumn id="1" name="Структурное подразделение" totalsRowLabel="Итог" dataDxfId="41" totalsRowDxfId="160"/>
    <tableColumn id="7" name="Проверок" totalsRowFunction="sum" dataDxfId="40" totalsRowDxfId="159"/>
    <tableColumn id="2" name="Замечаний" totalsRowFunction="sum" dataDxfId="39" totalsRowDxfId="158"/>
    <tableColumn id="3" name="Устранено" totalsRowFunction="sum" dataDxfId="38" totalsRowDxfId="157"/>
    <tableColumn id="4" name="Активные" totalsRowFunction="sum" dataDxfId="37" totalsRowDxfId="156"/>
    <tableColumn id="5" name="Просроченные" totalsRowFunction="sum" dataDxfId="36" totalsRowDxfId="155"/>
    <tableColumn id="6" name="% выполнения" totalsRowFunction="custom" dataDxfId="35" totalsRowDxfId="154">
      <calculatedColumnFormula>IF([Замечаний]=0,0,[Устранено]/[Замечаний]*100)</calculatedColumnFormula>
      <totalsRowFormula>IF(tbl_7[[#Totals],[Замечаний]]=0,0,tbl_7[[#Totals],[Устранено]]/tbl_7[[#Totals],[Замечаний]]*100)</totalsRowFormula>
    </tableColumn>
  </tableColumns>
  <tableStyleInfo name="TableStyleLight15" showFirstColumn="0" showLastColumn="0" showRowStripes="1" showColumnStripes="0"/>
</table>
</file>

<file path=xl/tables/table8.xml><?xml version="1.0" encoding="utf-8"?>
<table xmlns="http://schemas.openxmlformats.org/spreadsheetml/2006/main" id="5" name="tbl_8" displayName="tbl_8" ref="A1:G3" totalsRowCount="1" headerRowDxfId="164" dataDxfId="163" headerRowBorderDxfId="162" totalsRowBorderDxfId="161">
  <autoFilter ref="A1:G3">
    <filterColumn colId="1"/>
  </autoFilter>
  <tableColumns count="7">
    <tableColumn id="1" name="Структурное подразделение" totalsRowLabel="Итог" dataDxfId="34" totalsRowDxfId="171"/>
    <tableColumn id="7" name="Проверок" totalsRowFunction="sum" dataDxfId="33" totalsRowDxfId="170"/>
    <tableColumn id="2" name="Замечаний" totalsRowFunction="sum" dataDxfId="32" totalsRowDxfId="169"/>
    <tableColumn id="3" name="Устранено" totalsRowFunction="sum" dataDxfId="31" totalsRowDxfId="168"/>
    <tableColumn id="4" name="Активные" totalsRowFunction="sum" dataDxfId="30" totalsRowDxfId="167"/>
    <tableColumn id="5" name="Просроченные" totalsRowFunction="sum" dataDxfId="29" totalsRowDxfId="166"/>
    <tableColumn id="6" name="% выполнения" totalsRowFunction="custom" dataDxfId="28" totalsRowDxfId="165">
      <calculatedColumnFormula>IF([Замечаний]=0,0,[Устранено]/[Замечаний]*100)</calculatedColumnFormula>
      <totalsRowFormula>IF(tbl_8[[#Totals],[Замечаний]]=0,0,tbl_8[[#Totals],[Устранено]]/tbl_8[[#Totals],[Замечаний]]*100)</totalsRowFormula>
    </tableColumn>
  </tableColumns>
  <tableStyleInfo name="TableStyleLight15" showFirstColumn="0" showLastColumn="0" showRowStripes="1" showColumnStripes="0"/>
</table>
</file>

<file path=xl/tables/table9.xml><?xml version="1.0" encoding="utf-8"?>
<table xmlns="http://schemas.openxmlformats.org/spreadsheetml/2006/main" id="4" name="tbl_9" displayName="tbl_9" ref="A1:G3" totalsRowCount="1" headerRowDxfId="175" dataDxfId="174" headerRowBorderDxfId="173" totalsRowBorderDxfId="172">
  <autoFilter ref="A1:G3">
    <filterColumn colId="1"/>
  </autoFilter>
  <tableColumns count="7">
    <tableColumn id="1" name="Структурное подразделение" totalsRowLabel="Итог" dataDxfId="27" totalsRowDxfId="182"/>
    <tableColumn id="7" name="Проверок" totalsRowFunction="sum" dataDxfId="26" totalsRowDxfId="181"/>
    <tableColumn id="2" name="Замечаний" totalsRowFunction="sum" dataDxfId="25" totalsRowDxfId="180"/>
    <tableColumn id="3" name="Устранено" totalsRowFunction="sum" dataDxfId="24" totalsRowDxfId="179"/>
    <tableColumn id="4" name="Активные" totalsRowFunction="sum" dataDxfId="23" totalsRowDxfId="178"/>
    <tableColumn id="5" name="Просроченные" totalsRowFunction="sum" dataDxfId="22" totalsRowDxfId="177"/>
    <tableColumn id="6" name="% выполнения" totalsRowFunction="custom" dataDxfId="21" totalsRowDxfId="176">
      <calculatedColumnFormula>IF([Замечаний]=0,0,[Устранено]/[Замечаний]*100)</calculatedColumnFormula>
      <totalsRowFormula>IF(tbl_9[[#Totals],[Замечаний]]=0,0,tbl_9[[#Totals],[Устранено]]/tbl_9[[#Totals],[Замечаний]]*100)</totalsRowFormula>
    </tableColumn>
  </tableColumns>
  <tableStyleInfo name="TableStyleLight15" showFirstColumn="0" showLastColumn="0" showRowStripes="1" showColumnStripes="0"/>
</table>
</file>

<file path=xl/tables/table10.xml><?xml version="1.0" encoding="utf-8"?>
<table xmlns="http://schemas.openxmlformats.org/spreadsheetml/2006/main" id="3" name="tbl_10" displayName="tbl_10" ref="A1:G3" totalsRowCount="1" headerRowDxfId="186" dataDxfId="185" headerRowBorderDxfId="184" totalsRowBorderDxfId="183">
  <autoFilter ref="A1:G3">
    <filterColumn colId="1"/>
  </autoFilter>
  <tableColumns count="7">
    <tableColumn id="1" name="Структурное подразделение" totalsRowLabel="Итог" dataDxfId="20" totalsRowDxfId="193"/>
    <tableColumn id="7" name="Проверок" totalsRowFunction="sum" dataDxfId="19" totalsRowDxfId="192"/>
    <tableColumn id="2" name="Замечаний" totalsRowFunction="sum" dataDxfId="18" totalsRowDxfId="191"/>
    <tableColumn id="3" name="Устранено" totalsRowFunction="sum" dataDxfId="17" totalsRowDxfId="190"/>
    <tableColumn id="4" name="Активные" totalsRowFunction="sum" dataDxfId="16" totalsRowDxfId="189"/>
    <tableColumn id="5" name="Просроченные" totalsRowFunction="sum" dataDxfId="15" totalsRowDxfId="188"/>
    <tableColumn id="6" name="% выполнения" totalsRowFunction="custom" dataDxfId="14" totalsRowDxfId="187">
      <calculatedColumnFormula>IF([Замечаний]=0,0,[Устранено]/[Замечаний]*100)</calculatedColumnFormula>
      <totalsRowFormula>IF(tbl_10[[#Totals],[Замечаний]]=0,0,tbl_10[[#Totals],[Устранено]]/tbl_10[[#Totals],[Замечаний]]*100)</totalsRowFormula>
    </tableColumn>
  </tableColumns>
  <tableStyleInfo name="TableStyleLight15" showFirstColumn="0" showLastColumn="0" showRowStripes="1" showColumnStripes="0"/>
</table>
</file>

<file path=xl/tables/table11.xml><?xml version="1.0" encoding="utf-8"?>
<table xmlns="http://schemas.openxmlformats.org/spreadsheetml/2006/main" id="1" name="tbl_11" displayName="tbl_11" ref="A1:G3" totalsRowCount="1" headerRowDxfId="197" dataDxfId="196" headerRowBorderDxfId="195" totalsRowBorderDxfId="194">
  <autoFilter ref="A1:G3">
    <filterColumn colId="1"/>
  </autoFilter>
  <tableColumns count="7">
    <tableColumn id="1" name="Структурное подразделение" totalsRowLabel="Итог" dataDxfId="13" totalsRowDxfId="204"/>
    <tableColumn id="7" name="Проверок" totalsRowFunction="sum" dataDxfId="12" totalsRowDxfId="203"/>
    <tableColumn id="2" name="Замечаний" totalsRowFunction="sum" dataDxfId="11" totalsRowDxfId="202"/>
    <tableColumn id="3" name="Устранено" totalsRowFunction="sum" dataDxfId="10" totalsRowDxfId="201"/>
    <tableColumn id="4" name="Активные" totalsRowFunction="sum" dataDxfId="9" totalsRowDxfId="200"/>
    <tableColumn id="5" name="Просроченные" totalsRowFunction="sum" dataDxfId="8" totalsRowDxfId="199"/>
    <tableColumn id="6" name="% выполнения" totalsRowFunction="custom" dataDxfId="7" totalsRowDxfId="198">
      <calculatedColumnFormula>IF([Замечаний]=0,0,[Устранено]/[Замечаний]*100)</calculatedColumnFormula>
      <totalsRowFormula>IF(tbl_11[[#Totals],[Замечаний]]=0,0,tbl_11[[#Totals],[Устранено]]/tbl_11[[#Totals],[Замечаний]]*100)</totalsRowFormula>
    </tableColumn>
  </tableColumns>
  <tableStyleInfo name="TableStyleLight15" showFirstColumn="0" showLastColumn="0" showRowStripes="1" showColumnStripes="0"/>
</table>
</file>

<file path=xl/tables/table12.xml><?xml version="1.0" encoding="utf-8"?>
<table xmlns="http://schemas.openxmlformats.org/spreadsheetml/2006/main" id="12" name="tbl_12" displayName="tbl_12" ref="A1:G3" totalsRowCount="1" headerRowDxfId="87" dataDxfId="86" headerRowBorderDxfId="85" totalsRowBorderDxfId="84">
  <autoFilter ref="A1:G3">
    <filterColumn colId="1"/>
  </autoFilter>
  <tableColumns count="7">
    <tableColumn id="1" name="Структурное подразделение" totalsRowLabel="Итог" dataDxfId="6" totalsRowDxfId="94"/>
    <tableColumn id="7" name="Проверок" totalsRowFunction="sum" dataDxfId="5" totalsRowDxfId="93"/>
    <tableColumn id="2" name="Замечаний" totalsRowFunction="sum" dataDxfId="4" totalsRowDxfId="92"/>
    <tableColumn id="3" name="Устранено" totalsRowFunction="sum" dataDxfId="3" totalsRowDxfId="91"/>
    <tableColumn id="4" name="Активные" totalsRowFunction="sum" dataDxfId="2" totalsRowDxfId="90"/>
    <tableColumn id="5" name="Просроченные" totalsRowFunction="sum" dataDxfId="1" totalsRowDxfId="89"/>
    <tableColumn id="6" name="% выполнения" totalsRowFunction="custom" dataDxfId="0" totalsRowDxfId="88">
      <calculatedColumnFormula>IF([Замечаний]=0,0,[Устранено]/[Замечаний]*100)</calculatedColumnFormula>
      <totalsRowFormula>IF(tbl_12[[#Totals],[Замечаний]]=0,0,tbl_12[[#Totals],[Устранено]]/tbl_12[[#Totals],[Замечаний]]*100)</totalsRow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G3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G2"/>
    </sheetView>
  </sheetViews>
  <sheetFormatPr defaultRowHeight="15"/>
  <cols>
    <col min="1" max="1" width="31.28515625" customWidth="1"/>
    <col min="2" max="6" width="17" customWidth="1"/>
    <col min="7" max="7" width="17" style="1" customWidth="1"/>
  </cols>
  <sheetData>
    <row r="1" spans="1:7" ht="16.5" thickBot="1">
      <c r="A1" s="11" t="s">
        <v>0</v>
      </c>
      <c r="B1" s="11" t="s">
        <v>9</v>
      </c>
      <c r="C1" s="6" t="s">
        <v>10</v>
      </c>
      <c r="D1" s="7" t="s">
        <v>6</v>
      </c>
      <c r="E1" s="7" t="s">
        <v>7</v>
      </c>
      <c r="F1" s="7" t="s">
        <v>8</v>
      </c>
      <c r="G1" s="8" t="s">
        <v>2</v>
      </c>
    </row>
    <row r="2" spans="1:7" ht="16.5" thickBot="1">
      <c r="A2" s="9"/>
      <c r="B2" s="2"/>
      <c r="C2" s="2"/>
      <c r="D2" s="2"/>
      <c r="E2" s="2"/>
      <c r="F2" s="2"/>
      <c r="G2" s="10">
        <f>IF([Замечаний]=0,0,[Устранено]/[Замечаний]*100)</f>
        <v>0</v>
      </c>
    </row>
    <row r="3" spans="1:7" ht="16.5" thickBot="1">
      <c r="A3" s="3" t="s">
        <v>3</v>
      </c>
      <c r="B3" s="12">
        <f>SUBTOTAL(109,[Проверок])</f>
        <v>0</v>
      </c>
      <c r="C3" s="4">
        <f>SUBTOTAL(109,[Замечаний])</f>
        <v>0</v>
      </c>
      <c r="D3" s="4">
        <f>SUBTOTAL(109,[Устранено])</f>
        <v>0</v>
      </c>
      <c r="E3" s="4">
        <f>SUBTOTAL(109,[Активные])</f>
        <v>0</v>
      </c>
      <c r="F3" s="4">
        <f>SUBTOTAL(109,[Просроченные])</f>
        <v>0</v>
      </c>
      <c r="G3" s="5">
        <f>IF(tbl_1[[#Totals],[Замечаний]]=0,0,tbl_1[[#Totals],[Устранено]]/tbl_1[[#Totals],[Замечаний]]*100)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1:G3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G2"/>
    </sheetView>
  </sheetViews>
  <sheetFormatPr defaultRowHeight="15"/>
  <cols>
    <col min="1" max="1" width="31.28515625" customWidth="1"/>
    <col min="2" max="6" width="17" customWidth="1"/>
    <col min="7" max="7" width="17" style="1" customWidth="1"/>
  </cols>
  <sheetData>
    <row r="1" spans="1:7" ht="16.5" thickBot="1">
      <c r="A1" s="11" t="s">
        <v>0</v>
      </c>
      <c r="B1" s="11" t="s">
        <v>9</v>
      </c>
      <c r="C1" s="6" t="s">
        <v>10</v>
      </c>
      <c r="D1" s="7" t="s">
        <v>6</v>
      </c>
      <c r="E1" s="7" t="s">
        <v>7</v>
      </c>
      <c r="F1" s="7" t="s">
        <v>8</v>
      </c>
      <c r="G1" s="8" t="s">
        <v>2</v>
      </c>
    </row>
    <row r="2" spans="1:7" ht="16.5" thickBot="1">
      <c r="A2" s="9"/>
      <c r="B2" s="2"/>
      <c r="C2" s="2"/>
      <c r="D2" s="2"/>
      <c r="E2" s="2"/>
      <c r="F2" s="2"/>
      <c r="G2" s="10">
        <f>IF([Замечаний]=0,0,[Устранено]/[Замечаний]*100)</f>
        <v>0</v>
      </c>
    </row>
    <row r="3" spans="1:7" ht="16.5" thickBot="1">
      <c r="A3" s="3" t="s">
        <v>3</v>
      </c>
      <c r="B3" s="12">
        <f>SUBTOTAL(109,[Проверок])</f>
        <v>0</v>
      </c>
      <c r="C3" s="4">
        <f>SUBTOTAL(109,[Замечаний])</f>
        <v>0</v>
      </c>
      <c r="D3" s="4">
        <f>SUBTOTAL(109,[Устранено])</f>
        <v>0</v>
      </c>
      <c r="E3" s="4">
        <f>SUBTOTAL(109,[Активные])</f>
        <v>0</v>
      </c>
      <c r="F3" s="4">
        <f>SUBTOTAL(109,[Просроченные])</f>
        <v>0</v>
      </c>
      <c r="G3" s="5">
        <f>IF(tbl_2[[#Totals],[Замечаний]]=0,0,tbl_2[[#Totals],[Устранено]]/tbl_2[[#Totals],[Замечаний]]*100)</f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dimension ref="A1:G3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G2"/>
    </sheetView>
  </sheetViews>
  <sheetFormatPr defaultRowHeight="15"/>
  <cols>
    <col min="1" max="1" width="31.28515625" customWidth="1"/>
    <col min="2" max="6" width="17" customWidth="1"/>
    <col min="7" max="7" width="17" style="1" customWidth="1"/>
  </cols>
  <sheetData>
    <row r="1" spans="1:7" ht="16.5" thickBot="1">
      <c r="A1" s="11" t="s">
        <v>0</v>
      </c>
      <c r="B1" s="11" t="s">
        <v>9</v>
      </c>
      <c r="C1" s="6" t="s">
        <v>10</v>
      </c>
      <c r="D1" s="7" t="s">
        <v>6</v>
      </c>
      <c r="E1" s="7" t="s">
        <v>7</v>
      </c>
      <c r="F1" s="7" t="s">
        <v>8</v>
      </c>
      <c r="G1" s="8" t="s">
        <v>2</v>
      </c>
    </row>
    <row r="2" spans="1:7" ht="16.5" thickBot="1">
      <c r="A2" s="9"/>
      <c r="B2" s="2"/>
      <c r="C2" s="2"/>
      <c r="D2" s="2"/>
      <c r="E2" s="2"/>
      <c r="F2" s="2"/>
      <c r="G2" s="10">
        <f>IF([Замечаний]=0,0,[Устранено]/[Замечаний]*100)</f>
        <v>0</v>
      </c>
    </row>
    <row r="3" spans="1:7" ht="16.5" thickBot="1">
      <c r="A3" s="3" t="s">
        <v>3</v>
      </c>
      <c r="B3" s="12">
        <f>SUBTOTAL(109,[Проверок])</f>
        <v>0</v>
      </c>
      <c r="C3" s="4">
        <f>SUBTOTAL(109,[Замечаний])</f>
        <v>0</v>
      </c>
      <c r="D3" s="4">
        <f>SUBTOTAL(109,[Устранено])</f>
        <v>0</v>
      </c>
      <c r="E3" s="4">
        <f>SUBTOTAL(109,[Активные])</f>
        <v>0</v>
      </c>
      <c r="F3" s="4">
        <f>SUBTOTAL(109,[Просроченные])</f>
        <v>0</v>
      </c>
      <c r="G3" s="5">
        <f>IF(tbl_3[[#Totals],[Замечаний]]=0,0,tbl_3[[#Totals],[Устранено]]/tbl_3[[#Totals],[Замечаний]]*100)</f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dimension ref="A1:G3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G2"/>
    </sheetView>
  </sheetViews>
  <sheetFormatPr defaultRowHeight="15"/>
  <cols>
    <col min="1" max="1" width="31.28515625" customWidth="1"/>
    <col min="2" max="6" width="17" customWidth="1"/>
    <col min="7" max="7" width="17" style="1" customWidth="1"/>
  </cols>
  <sheetData>
    <row r="1" spans="1:7" ht="16.5" thickBot="1">
      <c r="A1" s="11" t="s">
        <v>0</v>
      </c>
      <c r="B1" s="11" t="s">
        <v>9</v>
      </c>
      <c r="C1" s="6" t="s">
        <v>10</v>
      </c>
      <c r="D1" s="7" t="s">
        <v>6</v>
      </c>
      <c r="E1" s="7" t="s">
        <v>7</v>
      </c>
      <c r="F1" s="7" t="s">
        <v>8</v>
      </c>
      <c r="G1" s="8" t="s">
        <v>2</v>
      </c>
    </row>
    <row r="2" spans="1:7" ht="16.5" thickBot="1">
      <c r="A2" s="9"/>
      <c r="B2" s="2"/>
      <c r="C2" s="2"/>
      <c r="D2" s="2"/>
      <c r="E2" s="2"/>
      <c r="F2" s="2"/>
      <c r="G2" s="10">
        <f>IF([Замечаний]=0,0,[Устранено]/[Замечаний]*100)</f>
        <v>0</v>
      </c>
    </row>
    <row r="3" spans="1:7" ht="16.5" thickBot="1">
      <c r="A3" s="3" t="s">
        <v>3</v>
      </c>
      <c r="B3" s="12">
        <f>SUBTOTAL(109,[Проверок])</f>
        <v>0</v>
      </c>
      <c r="C3" s="4">
        <f>SUBTOTAL(109,[Замечаний])</f>
        <v>0</v>
      </c>
      <c r="D3" s="4">
        <f>SUBTOTAL(109,[Устранено])</f>
        <v>0</v>
      </c>
      <c r="E3" s="4">
        <f>SUBTOTAL(109,[Активные])</f>
        <v>0</v>
      </c>
      <c r="F3" s="4">
        <f>SUBTOTAL(109,[Просроченные])</f>
        <v>0</v>
      </c>
      <c r="G3" s="5">
        <f>IF(tbl_4[[#Totals],[Замечаний]]=0,0,tbl_4[[#Totals],[Устранено]]/tbl_4[[#Totals],[Замечаний]]*100)</f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dimension ref="A1:G3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G2"/>
    </sheetView>
  </sheetViews>
  <sheetFormatPr defaultRowHeight="15"/>
  <cols>
    <col min="1" max="1" width="31.28515625" customWidth="1"/>
    <col min="2" max="6" width="17" customWidth="1"/>
    <col min="7" max="7" width="17" style="1" customWidth="1"/>
  </cols>
  <sheetData>
    <row r="1" spans="1:7" ht="16.5" thickBot="1">
      <c r="A1" s="11" t="s">
        <v>0</v>
      </c>
      <c r="B1" s="11" t="s">
        <v>9</v>
      </c>
      <c r="C1" s="6" t="s">
        <v>10</v>
      </c>
      <c r="D1" s="7" t="s">
        <v>6</v>
      </c>
      <c r="E1" s="7" t="s">
        <v>7</v>
      </c>
      <c r="F1" s="7" t="s">
        <v>8</v>
      </c>
      <c r="G1" s="8" t="s">
        <v>2</v>
      </c>
    </row>
    <row r="2" spans="1:7" ht="16.5" thickBot="1">
      <c r="A2" s="9"/>
      <c r="B2" s="2"/>
      <c r="C2" s="2"/>
      <c r="D2" s="2"/>
      <c r="E2" s="2"/>
      <c r="F2" s="2"/>
      <c r="G2" s="10">
        <f>IF([Замечаний]=0,0,[Устранено]/[Замечаний]*100)</f>
        <v>0</v>
      </c>
    </row>
    <row r="3" spans="1:7" ht="16.5" thickBot="1">
      <c r="A3" s="3" t="s">
        <v>3</v>
      </c>
      <c r="B3" s="12">
        <f>SUBTOTAL(109,[Проверок])</f>
        <v>0</v>
      </c>
      <c r="C3" s="4">
        <f>SUBTOTAL(109,[Замечаний])</f>
        <v>0</v>
      </c>
      <c r="D3" s="4">
        <f>SUBTOTAL(109,[Устранено])</f>
        <v>0</v>
      </c>
      <c r="E3" s="4">
        <f>SUBTOTAL(109,[Активные])</f>
        <v>0</v>
      </c>
      <c r="F3" s="4">
        <f>SUBTOTAL(109,[Просроченные])</f>
        <v>0</v>
      </c>
      <c r="G3" s="5">
        <f>IF(tbl_5[[#Totals],[Замечаний]]=0,0,tbl_5[[#Totals],[Устранено]]/tbl_5[[#Totals],[Замечаний]]*100)</f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dimension ref="A1:G3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G2"/>
    </sheetView>
  </sheetViews>
  <sheetFormatPr defaultRowHeight="15"/>
  <cols>
    <col min="1" max="1" width="31.28515625" customWidth="1"/>
    <col min="2" max="6" width="17" customWidth="1"/>
    <col min="7" max="7" width="17" style="1" customWidth="1"/>
  </cols>
  <sheetData>
    <row r="1" spans="1:7" ht="16.5" thickBot="1">
      <c r="A1" s="11" t="s">
        <v>0</v>
      </c>
      <c r="B1" s="11" t="s">
        <v>9</v>
      </c>
      <c r="C1" s="6" t="s">
        <v>10</v>
      </c>
      <c r="D1" s="7" t="s">
        <v>6</v>
      </c>
      <c r="E1" s="7" t="s">
        <v>7</v>
      </c>
      <c r="F1" s="7" t="s">
        <v>8</v>
      </c>
      <c r="G1" s="8" t="s">
        <v>2</v>
      </c>
    </row>
    <row r="2" spans="1:7" ht="16.5" thickBot="1">
      <c r="A2" s="9"/>
      <c r="B2" s="2"/>
      <c r="C2" s="2"/>
      <c r="D2" s="2"/>
      <c r="E2" s="2"/>
      <c r="F2" s="2"/>
      <c r="G2" s="10">
        <f>IF([Замечаний]=0,0,[Устранено]/[Замечаний]*100)</f>
        <v>0</v>
      </c>
    </row>
    <row r="3" spans="1:7" ht="16.5" thickBot="1">
      <c r="A3" s="3" t="s">
        <v>3</v>
      </c>
      <c r="B3" s="12">
        <f>SUBTOTAL(109,[Проверок])</f>
        <v>0</v>
      </c>
      <c r="C3" s="4">
        <f>SUBTOTAL(109,[Замечаний])</f>
        <v>0</v>
      </c>
      <c r="D3" s="4">
        <f>SUBTOTAL(109,[Устранено])</f>
        <v>0</v>
      </c>
      <c r="E3" s="4">
        <f>SUBTOTAL(109,[Активные])</f>
        <v>0</v>
      </c>
      <c r="F3" s="4">
        <f>SUBTOTAL(109,[Просроченные])</f>
        <v>0</v>
      </c>
      <c r="G3" s="5">
        <f>IF(tbl_6[[#Totals],[Замечаний]]=0,0,tbl_6[[#Totals],[Устранено]]/tbl_6[[#Totals],[Замечаний]]*100)</f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A1:G3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G2"/>
    </sheetView>
  </sheetViews>
  <sheetFormatPr defaultRowHeight="15"/>
  <cols>
    <col min="1" max="1" width="31.28515625" customWidth="1"/>
    <col min="2" max="6" width="17" customWidth="1"/>
    <col min="7" max="7" width="17" style="1" customWidth="1"/>
  </cols>
  <sheetData>
    <row r="1" spans="1:7" ht="16.5" thickBot="1">
      <c r="A1" s="11" t="s">
        <v>0</v>
      </c>
      <c r="B1" s="11" t="s">
        <v>9</v>
      </c>
      <c r="C1" s="6" t="s">
        <v>10</v>
      </c>
      <c r="D1" s="7" t="s">
        <v>6</v>
      </c>
      <c r="E1" s="7" t="s">
        <v>7</v>
      </c>
      <c r="F1" s="7" t="s">
        <v>8</v>
      </c>
      <c r="G1" s="8" t="s">
        <v>2</v>
      </c>
    </row>
    <row r="2" spans="1:7" ht="16.5" thickBot="1">
      <c r="A2" s="9"/>
      <c r="B2" s="2"/>
      <c r="C2" s="2"/>
      <c r="D2" s="2"/>
      <c r="E2" s="2"/>
      <c r="F2" s="2"/>
      <c r="G2" s="10">
        <f>IF([Замечаний]=0,0,[Устранено]/[Замечаний]*100)</f>
        <v>0</v>
      </c>
    </row>
    <row r="3" spans="1:7" ht="16.5" thickBot="1">
      <c r="A3" s="3" t="s">
        <v>3</v>
      </c>
      <c r="B3" s="12">
        <f>SUBTOTAL(109,[Проверок])</f>
        <v>0</v>
      </c>
      <c r="C3" s="4">
        <f>SUBTOTAL(109,[Замечаний])</f>
        <v>0</v>
      </c>
      <c r="D3" s="4">
        <f>SUBTOTAL(109,[Устранено])</f>
        <v>0</v>
      </c>
      <c r="E3" s="4">
        <f>SUBTOTAL(109,[Активные])</f>
        <v>0</v>
      </c>
      <c r="F3" s="4">
        <f>SUBTOTAL(109,[Просроченные])</f>
        <v>0</v>
      </c>
      <c r="G3" s="5">
        <f>IF(tbl_7[[#Totals],[Замечаний]]=0,0,tbl_7[[#Totals],[Устранено]]/tbl_7[[#Totals],[Замечаний]]*100)</f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A1:G3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G2"/>
    </sheetView>
  </sheetViews>
  <sheetFormatPr defaultRowHeight="15"/>
  <cols>
    <col min="1" max="1" width="31.28515625" customWidth="1"/>
    <col min="2" max="6" width="17" customWidth="1"/>
    <col min="7" max="7" width="17" style="1" customWidth="1"/>
  </cols>
  <sheetData>
    <row r="1" spans="1:7" ht="16.5" thickBot="1">
      <c r="A1" s="11" t="s">
        <v>0</v>
      </c>
      <c r="B1" s="11" t="s">
        <v>9</v>
      </c>
      <c r="C1" s="6" t="s">
        <v>10</v>
      </c>
      <c r="D1" s="7" t="s">
        <v>6</v>
      </c>
      <c r="E1" s="7" t="s">
        <v>7</v>
      </c>
      <c r="F1" s="7" t="s">
        <v>8</v>
      </c>
      <c r="G1" s="8" t="s">
        <v>2</v>
      </c>
    </row>
    <row r="2" spans="1:7" ht="16.5" thickBot="1">
      <c r="A2" s="9"/>
      <c r="B2" s="2"/>
      <c r="C2" s="2"/>
      <c r="D2" s="2"/>
      <c r="E2" s="2"/>
      <c r="F2" s="2"/>
      <c r="G2" s="10">
        <f>IF([Замечаний]=0,0,[Устранено]/[Замечаний]*100)</f>
        <v>0</v>
      </c>
    </row>
    <row r="3" spans="1:7" ht="16.5" thickBot="1">
      <c r="A3" s="3" t="s">
        <v>3</v>
      </c>
      <c r="B3" s="12">
        <f>SUBTOTAL(109,[Проверок])</f>
        <v>0</v>
      </c>
      <c r="C3" s="4">
        <f>SUBTOTAL(109,[Замечаний])</f>
        <v>0</v>
      </c>
      <c r="D3" s="4">
        <f>SUBTOTAL(109,[Устранено])</f>
        <v>0</v>
      </c>
      <c r="E3" s="4">
        <f>SUBTOTAL(109,[Активные])</f>
        <v>0</v>
      </c>
      <c r="F3" s="4">
        <f>SUBTOTAL(109,[Просроченные])</f>
        <v>0</v>
      </c>
      <c r="G3" s="5">
        <f>IF(tbl_8[[#Totals],[Замечаний]]=0,0,tbl_8[[#Totals],[Устранено]]/tbl_8[[#Totals],[Замечаний]]*100)</f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dimension ref="A1:G3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G2"/>
    </sheetView>
  </sheetViews>
  <sheetFormatPr defaultRowHeight="15"/>
  <cols>
    <col min="1" max="1" width="31.28515625" customWidth="1"/>
    <col min="2" max="6" width="17" customWidth="1"/>
    <col min="7" max="7" width="17" style="1" customWidth="1"/>
  </cols>
  <sheetData>
    <row r="1" spans="1:7" ht="16.5" thickBot="1">
      <c r="A1" s="11" t="s">
        <v>0</v>
      </c>
      <c r="B1" s="11" t="s">
        <v>9</v>
      </c>
      <c r="C1" s="6" t="s">
        <v>10</v>
      </c>
      <c r="D1" s="7" t="s">
        <v>6</v>
      </c>
      <c r="E1" s="7" t="s">
        <v>7</v>
      </c>
      <c r="F1" s="7" t="s">
        <v>8</v>
      </c>
      <c r="G1" s="8" t="s">
        <v>2</v>
      </c>
    </row>
    <row r="2" spans="1:7" ht="16.5" thickBot="1">
      <c r="A2" s="9"/>
      <c r="B2" s="2"/>
      <c r="C2" s="2"/>
      <c r="D2" s="2"/>
      <c r="E2" s="2"/>
      <c r="F2" s="2"/>
      <c r="G2" s="10">
        <f>IF([Замечаний]=0,0,[Устранено]/[Замечаний]*100)</f>
        <v>0</v>
      </c>
    </row>
    <row r="3" spans="1:7" ht="16.5" thickBot="1">
      <c r="A3" s="3" t="s">
        <v>3</v>
      </c>
      <c r="B3" s="12">
        <f>SUBTOTAL(109,[Проверок])</f>
        <v>0</v>
      </c>
      <c r="C3" s="4">
        <f>SUBTOTAL(109,[Замечаний])</f>
        <v>0</v>
      </c>
      <c r="D3" s="4">
        <f>SUBTOTAL(109,[Устранено])</f>
        <v>0</v>
      </c>
      <c r="E3" s="4">
        <f>SUBTOTAL(109,[Активные])</f>
        <v>0</v>
      </c>
      <c r="F3" s="4">
        <f>SUBTOTAL(109,[Просроченные])</f>
        <v>0</v>
      </c>
      <c r="G3" s="5">
        <f>IF(tbl_9[[#Totals],[Замечаний]]=0,0,tbl_9[[#Totals],[Устранено]]/tbl_9[[#Totals],[Замечаний]]*100)</f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dimension ref="A1:G3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G2"/>
    </sheetView>
  </sheetViews>
  <sheetFormatPr defaultRowHeight="15"/>
  <cols>
    <col min="1" max="1" width="31.28515625" customWidth="1"/>
    <col min="2" max="6" width="17" customWidth="1"/>
    <col min="7" max="7" width="17" style="1" customWidth="1"/>
  </cols>
  <sheetData>
    <row r="1" spans="1:7" ht="16.5" thickBot="1">
      <c r="A1" s="11" t="s">
        <v>0</v>
      </c>
      <c r="B1" s="11" t="s">
        <v>9</v>
      </c>
      <c r="C1" s="6" t="s">
        <v>10</v>
      </c>
      <c r="D1" s="7" t="s">
        <v>6</v>
      </c>
      <c r="E1" s="7" t="s">
        <v>7</v>
      </c>
      <c r="F1" s="7" t="s">
        <v>8</v>
      </c>
      <c r="G1" s="8" t="s">
        <v>2</v>
      </c>
    </row>
    <row r="2" spans="1:7" ht="16.5" thickBot="1">
      <c r="A2" s="9"/>
      <c r="B2" s="2"/>
      <c r="C2" s="2"/>
      <c r="D2" s="2"/>
      <c r="E2" s="2"/>
      <c r="F2" s="2"/>
      <c r="G2" s="10">
        <f>IF([Замечаний]=0,0,[Устранено]/[Замечаний]*100)</f>
        <v>0</v>
      </c>
    </row>
    <row r="3" spans="1:7" ht="16.5" thickBot="1">
      <c r="A3" s="3" t="s">
        <v>3</v>
      </c>
      <c r="B3" s="12">
        <f>SUBTOTAL(109,[Проверок])</f>
        <v>0</v>
      </c>
      <c r="C3" s="4">
        <f>SUBTOTAL(109,[Замечаний])</f>
        <v>0</v>
      </c>
      <c r="D3" s="4">
        <f>SUBTOTAL(109,[Устранено])</f>
        <v>0</v>
      </c>
      <c r="E3" s="4">
        <f>SUBTOTAL(109,[Активные])</f>
        <v>0</v>
      </c>
      <c r="F3" s="4">
        <f>SUBTOTAL(109,[Просроченные])</f>
        <v>0</v>
      </c>
      <c r="G3" s="5">
        <f>IF(tbl_10[[#Totals],[Замечаний]]=0,0,tbl_10[[#Totals],[Устранено]]/tbl_10[[#Totals],[Замечаний]]*100)</f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>
  <dimension ref="A1:G3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G2"/>
    </sheetView>
  </sheetViews>
  <sheetFormatPr defaultRowHeight="15"/>
  <cols>
    <col min="1" max="1" width="31.28515625" customWidth="1"/>
    <col min="2" max="6" width="17" customWidth="1"/>
    <col min="7" max="7" width="17" style="1" customWidth="1"/>
  </cols>
  <sheetData>
    <row r="1" spans="1:7" ht="16.5" thickBot="1">
      <c r="A1" s="11" t="s">
        <v>0</v>
      </c>
      <c r="B1" s="11" t="s">
        <v>9</v>
      </c>
      <c r="C1" s="6" t="s">
        <v>10</v>
      </c>
      <c r="D1" s="7" t="s">
        <v>6</v>
      </c>
      <c r="E1" s="7" t="s">
        <v>7</v>
      </c>
      <c r="F1" s="7" t="s">
        <v>8</v>
      </c>
      <c r="G1" s="8" t="s">
        <v>2</v>
      </c>
    </row>
    <row r="2" spans="1:7" ht="16.5" thickBot="1">
      <c r="A2" s="9"/>
      <c r="B2" s="2"/>
      <c r="C2" s="2"/>
      <c r="D2" s="2"/>
      <c r="E2" s="2"/>
      <c r="F2" s="2"/>
      <c r="G2" s="10">
        <f>IF([Замечаний]=0,0,[Устранено]/[Замечаний]*100)</f>
        <v>0</v>
      </c>
    </row>
    <row r="3" spans="1:7" ht="16.5" thickBot="1">
      <c r="A3" s="3" t="s">
        <v>3</v>
      </c>
      <c r="B3" s="12">
        <f>SUBTOTAL(109,[Проверок])</f>
        <v>0</v>
      </c>
      <c r="C3" s="4">
        <f>SUBTOTAL(109,[Замечаний])</f>
        <v>0</v>
      </c>
      <c r="D3" s="4">
        <f>SUBTOTAL(109,[Устранено])</f>
        <v>0</v>
      </c>
      <c r="E3" s="4">
        <f>SUBTOTAL(109,[Активные])</f>
        <v>0</v>
      </c>
      <c r="F3" s="4">
        <f>SUBTOTAL(109,[Просроченные])</f>
        <v>0</v>
      </c>
      <c r="G3" s="5">
        <f>IF(tbl_11[[#Totals],[Замечаний]]=0,0,tbl_11[[#Totals],[Устранено]]/tbl_11[[#Totals],[Замечаний]]*100)</f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dimension ref="A1:G3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G2"/>
    </sheetView>
  </sheetViews>
  <sheetFormatPr defaultRowHeight="15"/>
  <cols>
    <col min="1" max="1" width="31.28515625" customWidth="1"/>
    <col min="2" max="6" width="17" customWidth="1"/>
    <col min="7" max="7" width="17" style="1" customWidth="1"/>
  </cols>
  <sheetData>
    <row r="1" spans="1:7" ht="16.5" thickBot="1">
      <c r="A1" s="11" t="s">
        <v>0</v>
      </c>
      <c r="B1" s="11" t="s">
        <v>9</v>
      </c>
      <c r="C1" s="6" t="s">
        <v>10</v>
      </c>
      <c r="D1" s="7" t="s">
        <v>6</v>
      </c>
      <c r="E1" s="7" t="s">
        <v>7</v>
      </c>
      <c r="F1" s="7" t="s">
        <v>8</v>
      </c>
      <c r="G1" s="8" t="s">
        <v>2</v>
      </c>
    </row>
    <row r="2" spans="1:7" ht="16.5" thickBot="1">
      <c r="A2" s="9"/>
      <c r="B2" s="2"/>
      <c r="C2" s="2"/>
      <c r="D2" s="2"/>
      <c r="E2" s="2"/>
      <c r="F2" s="2"/>
      <c r="G2" s="10">
        <f>IF([Замечаний]=0,0,[Устранено]/[Замечаний]*100)</f>
        <v>0</v>
      </c>
    </row>
    <row r="3" spans="1:7" ht="16.5" thickBot="1">
      <c r="A3" s="3" t="s">
        <v>3</v>
      </c>
      <c r="B3" s="12">
        <f>SUBTOTAL(109,[Проверок])</f>
        <v>0</v>
      </c>
      <c r="C3" s="4">
        <f>SUBTOTAL(109,[Замечаний])</f>
        <v>0</v>
      </c>
      <c r="D3" s="4">
        <f>SUBTOTAL(109,[Устранено])</f>
        <v>0</v>
      </c>
      <c r="E3" s="4">
        <f>SUBTOTAL(109,[Активные])</f>
        <v>0</v>
      </c>
      <c r="F3" s="4">
        <f>SUBTOTAL(109,[Просроченные])</f>
        <v>0</v>
      </c>
      <c r="G3" s="5">
        <f>IF(tbl_12[[#Totals],[Замечаний]]=0,0,tbl_12[[#Totals],[Устранено]]/tbl_12[[#Totals],[Замечаний]]*100)</f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3">
    <tabColor rgb="FFFF0000"/>
  </sheetPr>
  <dimension ref="A1:B4"/>
  <sheetViews>
    <sheetView tabSelected="1" workbookViewId="0">
      <selection activeCell="B5" sqref="B5"/>
    </sheetView>
  </sheetViews>
  <sheetFormatPr defaultRowHeight="15"/>
  <cols>
    <col min="1" max="1" width="20.42578125" customWidth="1"/>
  </cols>
  <sheetData>
    <row r="1" spans="1:2">
      <c r="A1" t="s">
        <v>4</v>
      </c>
    </row>
    <row r="2" spans="1:2">
      <c r="A2" t="s">
        <v>5</v>
      </c>
      <c r="B2">
        <f>tbl_1[[#Totals],[Замечаний]]+tbl_2[[#Totals],[Замечаний]]+tbl_3[[#Totals],[Замечаний]]+tbl_4[[#Totals],[Замечаний]]+tbl_5[[#Totals],[Замечаний]]+tbl_6[[#Totals],[Замечаний]]+tbl_7[[#Totals],[Замечаний]]+tbl_8[[#Totals],[Замечаний]]+tbl_9[[#Totals],[Замечаний]]+tbl_10[[#Totals],[Замечаний]]+tbl_11[[#Totals],[Замечаний]]+tbl_12[[#Totals],[Замечаний]]</f>
        <v>0</v>
      </c>
    </row>
    <row r="3" spans="1:2">
      <c r="A3" t="s">
        <v>1</v>
      </c>
      <c r="B3">
        <f>tbl_1[[#Totals],[Устранено]]+tbl_2[[#Totals],[Устранено]]+tbl_3[[#Totals],[Устранено]]+tbl_4[[#Totals],[Устранено]]+tbl_5[[#Totals],[Устранено]]+tbl_6[[#Totals],[Устранено]]+tbl_7[[#Totals],[Устранено]]+tbl_8[[#Totals],[Устранено]]+tbl_9[[#Totals],[Устранено]]+tbl_10[[#Totals],[Устранено]]+tbl_11[[#Totals],[Устранено]]+tbl_12[[#Totals],[Устранено]]</f>
        <v>0</v>
      </c>
    </row>
    <row r="4" spans="1:2">
      <c r="A4" t="s">
        <v>2</v>
      </c>
      <c r="B4">
        <f>IF(B2=0,0,B3/B2*100)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13</vt:i4>
      </vt:variant>
    </vt:vector>
  </HeadingPairs>
  <TitlesOfParts>
    <vt:vector size="13" baseType="lpstr">
      <vt:lpstr>январь</vt:lpstr>
      <vt:lpstr>февраль</vt:lpstr>
      <vt:lpstr>март</vt:lpstr>
      <vt:lpstr>апрель</vt:lpstr>
      <vt:lpstr>май</vt:lpstr>
      <vt:lpstr>июнь</vt:lpstr>
      <vt:lpstr>июль</vt:lpstr>
      <vt:lpstr>август</vt:lpstr>
      <vt:lpstr>сентябрь</vt:lpstr>
      <vt:lpstr>октябрь</vt:lpstr>
      <vt:lpstr>ноябрь</vt:lpstr>
      <vt:lpstr>декабрь</vt:lpstr>
      <vt:lpstr>итоги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2022-01-13T11:19:27Z</dcterms:modified>
</cp:coreProperties>
</file>