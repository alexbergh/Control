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1.xml" ContentType="application/vnd.openxmlformats-officedocument.spreadsheetml.table+xml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6"/>
  <workbookPr filterPrivacy="1" codeName="ЭтаКнига"/>
  <bookViews>
    <workbookView xWindow="0" yWindow="0" windowWidth="22260" windowHeight="12645"/>
  </bookViews>
  <sheets>
    <sheet name="Sheet1" sheetId="1" r:id="rId1"/>
  </sheets>
  <calcPr calcId="125725"/>
  <extLst xmlns:x15="http://schemas.microsoft.com/office/spreadsheetml/2010/11/main"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8" i="1"/>
  <c r="M8"/>
  <c r="P8" s="1"/>
  <c r="L8"/>
  <c r="O8" s="1"/>
  <c r="I8"/>
  <c r="H8"/>
  <c r="K8" s="1"/>
  <c r="G8"/>
  <c r="J8" s="1"/>
  <c r="D8"/>
  <c r="B11" s="1"/>
  <c r="C8"/>
  <c r="F8" s="1"/>
  <c r="B8"/>
  <c r="E8" s="1"/>
  <c r="P7"/>
  <c r="O7"/>
  <c r="K7"/>
  <c r="J7"/>
  <c r="E7"/>
  <c r="F7"/>
  <c r="B9" l="1"/>
  <c r="B12" s="1"/>
  <c r="B10"/>
</calcChain>
</file>

<file path=xl/sharedStrings.xml><?xml version="1.0" encoding="utf-8"?>
<sst xmlns="http://schemas.openxmlformats.org/spreadsheetml/2006/main" count="41" uniqueCount="30">
  <si>
    <t>Цех/отдел</t>
  </si>
  <si>
    <t>I ступень</t>
  </si>
  <si>
    <t>II ступень</t>
  </si>
  <si>
    <t>III ступень</t>
  </si>
  <si>
    <t>всего проверок</t>
  </si>
  <si>
    <t>выявлено</t>
  </si>
  <si>
    <t>устранено</t>
  </si>
  <si>
    <t>коэффициент эффективности</t>
  </si>
  <si>
    <t>% выполнения</t>
  </si>
  <si>
    <t>количество проверок</t>
  </si>
  <si>
    <t>количество несоответствий</t>
  </si>
  <si>
    <t>количество устраненных</t>
  </si>
  <si>
    <t>0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</si>
  <si>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</si>
  <si>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</si>
  <si>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</si>
  <si>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</si>
  <si>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</si>
  <si>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</si>
  <si>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</si>
  <si>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</si>
  <si>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</si>
  <si>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</si>
  <si>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</si>
  <si>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</si>
  <si>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</si>
  <si>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</si>
  <si>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</si>
  <si>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 xml:space="preserve">Результаты ВК СУОТППЭБ </t>
  </si>
  <si>
    <t>Итог</t>
  </si>
</sst>
</file>

<file path=xl/styles.xml><?xml version="1.0" encoding="utf-8"?>
<styleSheet xmlns="http://schemas.openxmlformats.org/spreadsheetml/2006/main">
  <fonts count="8">
    <font>
      <sz val="11"/>
      <color theme="1"/>
      <name val="Calibri"/>
      <family val="2"/>
      <scheme val="minor"/>
    </font>
    <font>
      <sz val="12"/>
      <color rgb="FF000000"/>
      <name val="Times New Roman"/>
      <family val="1"/>
      <charset val="204"/>
    </font>
    <font>
      <sz val="10"/>
      <color rgb="FF000000"/>
      <name val="Times New Roman"/>
      <family val="1"/>
      <charset val="204"/>
    </font>
    <font>
      <sz val="14"/>
      <color theme="1"/>
      <name val="Times New Roman"/>
    </font>
    <font>
      <sz val="12"/>
      <color theme="1"/>
      <name val="Times New Roman"/>
      <family val="1"/>
      <charset val="204"/>
    </font>
    <font>
      <b/>
      <sz val="11"/>
      <color theme="1"/>
      <name val="Times New Roman"/>
      <family val="1"/>
      <charset val="204"/>
    </font>
    <font>
      <sz val="12"/>
      <color rgb="FF000000"/>
      <name val="Times New Roman"/>
    </font>
    <font>
      <sz val="12"/>
      <color theme="1"/>
      <name val="Times New Roman"/>
    </font>
  </fonts>
  <fills count="2">
    <fill>
      <patternFill patternType="none"/>
    </fill>
    <fill>
      <patternFill patternType="gray125"/>
    </fill>
  </fills>
  <borders count="2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36">
    <xf numFmtId="0" fontId="0" fillId="0" borderId="0" xfId="0"/>
    <xf numFmtId="0" fontId="2" fillId="0" borderId="1" xfId="0" applyFont="1" applyBorder="1" applyAlignment="1">
      <alignment horizontal="left" vertical="top" wrapText="1"/>
    </xf>
    <xf numFmtId="0" fontId="1" fillId="0" borderId="8" xfId="0" applyFont="1" applyBorder="1" applyAlignment="1">
      <alignment horizontal="center" vertical="top" wrapText="1"/>
    </xf>
    <xf numFmtId="0" fontId="2" fillId="0" borderId="1" xfId="0" applyFont="1" applyBorder="1" applyAlignment="1">
      <alignment horizontal="center" vertical="top" wrapText="1"/>
    </xf>
    <xf numFmtId="0" fontId="3" fillId="0" borderId="7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2" fontId="4" fillId="0" borderId="9" xfId="0" applyNumberFormat="1" applyFont="1" applyBorder="1" applyAlignment="1">
      <alignment horizontal="center" vertical="top" wrapText="1"/>
    </xf>
    <xf numFmtId="1" fontId="4" fillId="0" borderId="10" xfId="0" applyNumberFormat="1" applyFont="1" applyBorder="1" applyAlignment="1">
      <alignment horizontal="center" vertical="top" wrapText="1"/>
    </xf>
    <xf numFmtId="0" fontId="3" fillId="0" borderId="11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top" wrapText="1"/>
    </xf>
    <xf numFmtId="0" fontId="4" fillId="0" borderId="9" xfId="0" applyFont="1" applyBorder="1" applyAlignment="1">
      <alignment horizontal="center" vertical="top"/>
    </xf>
    <xf numFmtId="0" fontId="1" fillId="0" borderId="2" xfId="0" applyFont="1" applyBorder="1" applyAlignment="1">
      <alignment horizontal="left" vertical="top"/>
    </xf>
    <xf numFmtId="1" fontId="4" fillId="0" borderId="12" xfId="0" applyNumberFormat="1" applyFont="1" applyBorder="1" applyAlignment="1">
      <alignment horizontal="center" vertical="top" wrapText="1"/>
    </xf>
    <xf numFmtId="0" fontId="1" fillId="0" borderId="13" xfId="0" applyFont="1" applyBorder="1" applyAlignment="1">
      <alignment horizontal="center" vertical="top" wrapText="1"/>
    </xf>
    <xf numFmtId="0" fontId="2" fillId="0" borderId="8" xfId="0" applyFont="1" applyBorder="1" applyAlignment="1">
      <alignment horizontal="center" vertical="top" wrapText="1"/>
    </xf>
    <xf numFmtId="0" fontId="2" fillId="0" borderId="14" xfId="0" applyFont="1" applyBorder="1" applyAlignment="1">
      <alignment horizontal="center" vertical="top" wrapText="1"/>
    </xf>
    <xf numFmtId="0" fontId="5" fillId="0" borderId="0" xfId="0" applyFont="1" applyAlignment="1">
      <alignment horizontal="center"/>
    </xf>
    <xf numFmtId="0" fontId="0" fillId="0" borderId="0" xfId="0" applyAlignment="1">
      <alignment horizontal="left"/>
    </xf>
    <xf numFmtId="0" fontId="1" fillId="0" borderId="2" xfId="0" applyFont="1" applyFill="1" applyBorder="1" applyAlignment="1">
      <alignment horizontal="center" vertical="top" wrapText="1"/>
    </xf>
    <xf numFmtId="0" fontId="1" fillId="0" borderId="1" xfId="0" applyFont="1" applyFill="1" applyBorder="1" applyAlignment="1">
      <alignment horizontal="center" vertical="top" wrapText="1"/>
    </xf>
    <xf numFmtId="2" fontId="1" fillId="0" borderId="2" xfId="0" applyNumberFormat="1" applyFont="1" applyBorder="1" applyAlignment="1">
      <alignment horizontal="center" vertical="top" wrapText="1"/>
    </xf>
    <xf numFmtId="2" fontId="1" fillId="0" borderId="1" xfId="0" applyNumberFormat="1" applyFont="1" applyBorder="1" applyAlignment="1">
      <alignment horizontal="center" vertical="top" wrapText="1"/>
    </xf>
    <xf numFmtId="0" fontId="1" fillId="0" borderId="1" xfId="0" applyFont="1" applyBorder="1" applyAlignment="1">
      <alignment horizontal="center" vertical="top" wrapText="1"/>
    </xf>
    <xf numFmtId="0" fontId="1" fillId="0" borderId="3" xfId="0" applyFont="1" applyBorder="1" applyAlignment="1">
      <alignment horizontal="center" vertical="top" wrapText="1"/>
    </xf>
    <xf numFmtId="0" fontId="1" fillId="0" borderId="4" xfId="0" applyFont="1" applyBorder="1" applyAlignment="1">
      <alignment horizontal="center" vertical="top" wrapText="1"/>
    </xf>
    <xf numFmtId="0" fontId="1" fillId="0" borderId="5" xfId="0" applyFont="1" applyBorder="1" applyAlignment="1">
      <alignment horizontal="center" vertical="top" wrapText="1"/>
    </xf>
    <xf numFmtId="0" fontId="1" fillId="0" borderId="6" xfId="0" applyFont="1" applyBorder="1" applyAlignment="1">
      <alignment horizontal="center" vertical="top" wrapText="1"/>
    </xf>
    <xf numFmtId="0" fontId="1" fillId="0" borderId="2" xfId="0" applyFont="1" applyBorder="1" applyAlignment="1">
      <alignment horizontal="center" vertical="top" wrapText="1"/>
    </xf>
    <xf numFmtId="0" fontId="3" fillId="0" borderId="15" xfId="0" applyFont="1" applyBorder="1" applyAlignment="1">
      <alignment horizontal="center" vertical="center"/>
    </xf>
    <xf numFmtId="0" fontId="3" fillId="0" borderId="16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6" fillId="0" borderId="19" xfId="0" applyFont="1" applyBorder="1" applyAlignment="1">
      <alignment horizontal="left" vertical="top"/>
    </xf>
    <xf numFmtId="0" fontId="7" fillId="0" borderId="15" xfId="0" applyFont="1" applyBorder="1" applyAlignment="1">
      <alignment horizontal="center" vertical="top" wrapText="1"/>
    </xf>
    <xf numFmtId="0" fontId="7" fillId="0" borderId="16" xfId="0" applyFont="1" applyBorder="1" applyAlignment="1">
      <alignment horizontal="center" vertical="top"/>
    </xf>
    <xf numFmtId="2" fontId="7" fillId="0" borderId="16" xfId="0" applyNumberFormat="1" applyFont="1" applyBorder="1" applyAlignment="1">
      <alignment horizontal="center" vertical="top" wrapText="1"/>
    </xf>
    <xf numFmtId="1" fontId="7" fillId="0" borderId="17" xfId="0" applyNumberFormat="1" applyFont="1" applyBorder="1" applyAlignment="1">
      <alignment horizontal="center" vertical="top" wrapText="1"/>
    </xf>
  </cellXfs>
  <cellStyles count="1">
    <cellStyle name="Обычный" xfId="0" builtinId="0"/>
  </cellStyles>
  <dxfs count="3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1" formatCode="0"/>
      <alignment horizontal="center" vertical="top" textRotation="0" wrapText="1" indent="0" relativeIndent="0" justifyLastLine="0" shrinkToFit="0" mergeCell="0" readingOrder="0"/>
      <border diagonalUp="0" diagonalDown="0" outline="0">
        <left style="hair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2" formatCode="0.00"/>
      <alignment horizontal="center" vertical="top" textRotation="0" wrapText="1" indent="0" relativeIndent="0" justifyLastLine="0" shrinkToFit="0" mergeCell="0" readingOrder="0"/>
      <border diagonalUp="0" diagonalDown="0" outline="0">
        <left style="hair">
          <color indexed="64"/>
        </left>
        <right style="hair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top" textRotation="0" wrapText="0" indent="0" relativeIndent="0" justifyLastLine="0" shrinkToFit="0" mergeCell="0" readingOrder="0"/>
      <border diagonalUp="0" diagonalDown="0" outline="0">
        <left style="hair">
          <color indexed="64"/>
        </left>
        <right style="hair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top" textRotation="0" wrapText="0" indent="0" relativeIndent="0" justifyLastLine="0" shrinkToFit="0" mergeCell="0" readingOrder="0"/>
      <border diagonalUp="0" diagonalDown="0" outline="0">
        <left style="hair">
          <color indexed="64"/>
        </left>
        <right style="hair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top" textRotation="0" wrapText="1" indent="0" relativeIndent="0" justifyLastLine="0" shrinkToFit="0" mergeCell="0" readingOrder="0"/>
      <border diagonalUp="0" diagonalDown="0" outline="0">
        <left/>
        <right style="hair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1" formatCode="0"/>
      <alignment horizontal="center" vertical="top" textRotation="0" wrapText="1" indent="0" relativeIndent="0" justifyLastLine="0" shrinkToFit="0" mergeCell="0" readingOrder="0"/>
      <border diagonalUp="0" diagonalDown="0" outline="0">
        <left style="hair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2" formatCode="0.00"/>
      <alignment horizontal="center" vertical="top" textRotation="0" wrapText="1" indent="0" relativeIndent="0" justifyLastLine="0" shrinkToFit="0" mergeCell="0" readingOrder="0"/>
      <border diagonalUp="0" diagonalDown="0" outline="0">
        <left style="hair">
          <color indexed="64"/>
        </left>
        <right style="hair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Times New Roman"/>
        <scheme val="none"/>
      </font>
      <alignment horizontal="center" vertical="center" textRotation="0" wrapText="0" indent="0" relativeIndent="0" justifyLastLine="0" shrinkToFit="0" mergeCell="0" readingOrder="0"/>
      <border diagonalUp="0" diagonalDown="0" outline="0">
        <left style="hair">
          <color indexed="64"/>
        </left>
        <right style="hair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Times New Roman"/>
        <scheme val="none"/>
      </font>
      <alignment horizontal="center" vertical="center" textRotation="0" wrapText="0" indent="0" relativeIndent="0" justifyLastLine="0" shrinkToFit="0" mergeCell="0" readingOrder="0"/>
      <border diagonalUp="0" diagonalDown="0" outline="0">
        <left style="hair">
          <color indexed="64"/>
        </left>
        <right style="hair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Times New Roman"/>
        <scheme val="none"/>
      </font>
      <alignment horizontal="center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hair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1" formatCode="0"/>
      <alignment horizontal="center" vertical="top" textRotation="0" wrapText="1" indent="0" relativeIndent="0" justifyLastLine="0" shrinkToFit="0" mergeCell="0" readingOrder="0"/>
      <border diagonalUp="0" diagonalDown="0" outline="0">
        <left style="hair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2" formatCode="0.00"/>
      <alignment horizontal="center" vertical="top" textRotation="0" wrapText="1" indent="0" relativeIndent="0" justifyLastLine="0" shrinkToFit="0" mergeCell="0" readingOrder="0"/>
      <border diagonalUp="0" diagonalDown="0" outline="0">
        <left style="hair">
          <color indexed="64"/>
        </left>
        <right style="hair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Times New Roman"/>
        <scheme val="none"/>
      </font>
      <alignment horizontal="center" vertical="center" textRotation="0" wrapText="0" indent="0" relativeIndent="0" justifyLastLine="0" shrinkToFit="0" mergeCell="0" readingOrder="0"/>
      <border diagonalUp="0" diagonalDown="0" outline="0">
        <left style="hair">
          <color indexed="64"/>
        </left>
        <right style="hair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Times New Roman"/>
        <scheme val="none"/>
      </font>
      <alignment horizontal="center" vertical="center" textRotation="0" wrapText="0" indent="0" relativeIndent="0" justifyLastLine="0" shrinkToFit="0" mergeCell="0" readingOrder="0"/>
      <border diagonalUp="0" diagonalDown="0" outline="0">
        <left style="hair">
          <color indexed="64"/>
        </left>
        <right style="hair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Times New Roman"/>
        <scheme val="none"/>
      </font>
      <alignment horizontal="center" vertical="center" textRotation="0" wrapText="0" indent="0" relativeIndent="0" justifyLastLine="0" shrinkToFit="0" mergeCell="0" readingOrder="0"/>
      <border diagonalUp="0" diagonalDown="0" outline="0">
        <left/>
        <right style="hair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  <alignment horizontal="left" vertical="top" textRotation="0" wrapText="0" indent="0" relativeIndent="0" justifyLastLine="0" shrinkToFit="0" mergeCell="0" readingOrder="0"/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1" formatCode="0"/>
      <alignment horizontal="center" vertical="top" textRotation="0" wrapText="1" indent="0" relativeIndent="0" justifyLastLine="0" shrinkToFit="0" mergeCell="0" readingOrder="0"/>
      <border diagonalUp="0" diagonalDown="0">
        <left style="hair">
          <color indexed="64"/>
        </left>
        <right/>
        <top/>
        <bottom style="hair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1" formatCode="0"/>
      <alignment horizontal="center" vertical="top" textRotation="0" wrapText="1" indent="0" relativeIndent="0" justifyLastLine="0" shrinkToFit="0" mergeCell="0" readingOrder="0"/>
      <border diagonalUp="0" diagonalDown="0">
        <left style="hair">
          <color indexed="64"/>
        </left>
        <right style="thin">
          <color indexed="64"/>
        </right>
        <top/>
        <bottom style="hair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2" formatCode="0.00"/>
      <alignment horizontal="center" vertical="top" textRotation="0" wrapText="1" indent="0" relativeIndent="0" justifyLastLine="0" shrinkToFit="0" mergeCell="0" readingOrder="0"/>
      <border diagonalUp="0" diagonalDown="0">
        <left style="hair">
          <color indexed="64"/>
        </left>
        <right style="hair">
          <color indexed="64"/>
        </right>
        <top/>
        <bottom style="hair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2" formatCode="0.00"/>
      <alignment horizontal="center" vertical="top" textRotation="0" wrapText="1" indent="0" relativeIndent="0" justifyLastLine="0" shrinkToFit="0" mergeCell="0" readingOrder="0"/>
      <border diagonalUp="0" diagonalDown="0">
        <left style="hair">
          <color indexed="64"/>
        </left>
        <right style="hair">
          <color indexed="64"/>
        </right>
        <top/>
        <bottom style="hair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top" textRotation="0" wrapText="0" indent="0" relativeIndent="0" justifyLastLine="0" shrinkToFit="0" mergeCell="0" readingOrder="0"/>
      <border diagonalUp="0" diagonalDown="0">
        <left style="hair">
          <color indexed="64"/>
        </left>
        <right style="hair">
          <color indexed="64"/>
        </right>
        <top/>
        <bottom style="hair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top" textRotation="0" wrapText="0" indent="0" relativeIndent="0" justifyLastLine="0" shrinkToFit="0" mergeCell="0" readingOrder="0"/>
      <border diagonalUp="0" diagonalDown="0">
        <left style="hair">
          <color indexed="64"/>
        </left>
        <right style="hair">
          <color indexed="64"/>
        </right>
        <top/>
        <bottom style="hair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top" textRotation="0" wrapText="1" indent="0" relativeIndent="0" justifyLastLine="0" shrinkToFit="0" mergeCell="0" readingOrder="0"/>
      <border diagonalUp="0" diagonalDown="0">
        <left/>
        <right style="hair">
          <color indexed="64"/>
        </right>
        <top/>
        <bottom style="hair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Times New Roman"/>
        <scheme val="none"/>
      </font>
      <alignment horizontal="center" vertical="center" textRotation="0" wrapText="0" indent="0" relativeIndent="0" justifyLastLine="0" shrinkToFit="0" mergeCell="0" readingOrder="0"/>
      <border diagonalUp="0" diagonalDown="0">
        <left style="hair">
          <color indexed="64"/>
        </left>
        <right style="hair">
          <color indexed="64"/>
        </right>
        <top/>
        <bottom style="hair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Times New Roman"/>
        <scheme val="none"/>
      </font>
      <alignment horizontal="center" vertical="center" textRotation="0" wrapText="0" indent="0" relativeIndent="0" justifyLastLine="0" shrinkToFit="0" mergeCell="0" readingOrder="0"/>
      <border diagonalUp="0" diagonalDown="0">
        <left style="hair">
          <color indexed="64"/>
        </left>
        <right style="hair">
          <color indexed="64"/>
        </right>
        <top/>
        <bottom style="hair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Times New Roman"/>
        <scheme val="none"/>
      </font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hair">
          <color indexed="64"/>
        </right>
        <top/>
        <bottom style="hair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1" formatCode="0"/>
      <alignment horizontal="center" vertical="top" textRotation="0" wrapText="1" indent="0" relativeIndent="0" justifyLastLine="0" shrinkToFit="0" mergeCell="0" readingOrder="0"/>
      <border diagonalUp="0" diagonalDown="0">
        <left style="hair">
          <color indexed="64"/>
        </left>
        <right style="thin">
          <color indexed="64"/>
        </right>
        <top/>
        <bottom style="hair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2" formatCode="0.00"/>
      <alignment horizontal="center" vertical="top" textRotation="0" wrapText="1" indent="0" relativeIndent="0" justifyLastLine="0" shrinkToFit="0" mergeCell="0" readingOrder="0"/>
      <border diagonalUp="0" diagonalDown="0">
        <left style="hair">
          <color indexed="64"/>
        </left>
        <right style="hair">
          <color indexed="64"/>
        </right>
        <top/>
        <bottom style="hair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Times New Roman"/>
        <scheme val="none"/>
      </font>
      <alignment horizontal="center" vertical="center" textRotation="0" wrapText="0" indent="0" relativeIndent="0" justifyLastLine="0" shrinkToFit="0" mergeCell="0" readingOrder="0"/>
      <border diagonalUp="0" diagonalDown="0">
        <left style="hair">
          <color indexed="64"/>
        </left>
        <right style="hair">
          <color indexed="64"/>
        </right>
        <top/>
        <bottom style="hair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Times New Roman"/>
        <scheme val="none"/>
      </font>
      <alignment horizontal="center" vertical="center" textRotation="0" wrapText="0" indent="0" relativeIndent="0" justifyLastLine="0" shrinkToFit="0" mergeCell="0" readingOrder="0"/>
      <border diagonalUp="0" diagonalDown="0">
        <left style="hair">
          <color indexed="64"/>
        </left>
        <right style="hair">
          <color indexed="64"/>
        </right>
        <top/>
        <bottom style="hair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Times New Roman"/>
        <scheme val="none"/>
      </font>
      <alignment horizontal="center" vertical="center" textRotation="0" wrapText="0" indent="0" relativeIndent="0" justifyLastLine="0" shrinkToFit="0" mergeCell="0" readingOrder="0"/>
      <border diagonalUp="0" diagonalDown="0">
        <left/>
        <right style="hair">
          <color indexed="64"/>
        </right>
        <top/>
        <bottom style="hair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  <alignment horizontal="left" vertical="top" textRotation="0" wrapText="0" indent="0" relativeIndent="0" justifyLastLine="0" shrinkToFit="0" mergeCell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Times New Roman"/>
        <scheme val="none"/>
      </font>
      <alignment horizontal="center" vertical="top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id="1" name="tbl" displayName="tbl" ref="A6:P8" totalsRowCount="1" headerRowDxfId="34" headerRowBorderDxfId="33" tableBorderDxfId="32">
  <autoFilter ref="A6:P7"/>
  <tableColumns count="16">
    <tableColumn id="1" name="0" totalsRowLabel="Итог" dataDxfId="31" totalsRowDxfId="15"/>
    <tableColumn id="2" name="1" totalsRowFunction="sum" dataDxfId="30" totalsRowDxfId="14"/>
    <tableColumn id="3" name="2" totalsRowFunction="sum" dataDxfId="29" totalsRowDxfId="13"/>
    <tableColumn id="4" name="3" totalsRowFunction="sum" dataDxfId="28" totalsRowDxfId="12"/>
    <tableColumn id="5" name="4" totalsRowFunction="custom" dataDxfId="27" totalsRowDxfId="11">
      <calculatedColumnFormula>IF(B7=0,0,C7/B7)</calculatedColumnFormula>
      <totalsRowFormula>IF(tbl[[#Totals],[1]]=0,0,tbl[[#Totals],[2]]/tbl[[#Totals],[1]])</totalsRowFormula>
    </tableColumn>
    <tableColumn id="6" name="5" totalsRowFunction="custom" dataDxfId="26" totalsRowDxfId="10">
      <calculatedColumnFormula>IF(C7=0,0,D7/C7*100)</calculatedColumnFormula>
      <totalsRowFormula>IF(tbl[[#Totals],[2]]=0,0,tbl[[#Totals],[3]]/tbl[[#Totals],[2]]*100)</totalsRowFormula>
    </tableColumn>
    <tableColumn id="7" name="6" totalsRowFunction="sum" dataDxfId="25" totalsRowDxfId="9"/>
    <tableColumn id="8" name="7" totalsRowFunction="sum" dataDxfId="24" totalsRowDxfId="8"/>
    <tableColumn id="9" name="8" totalsRowFunction="sum" dataDxfId="23" totalsRowDxfId="7"/>
    <tableColumn id="10" name="9" totalsRowFunction="custom" dataDxfId="19" totalsRowDxfId="6">
      <calculatedColumnFormula>IF(H7=0,0,H7/G7)</calculatedColumnFormula>
      <totalsRowFormula>IF(tbl[[#Totals],[6]]=0,0,tbl[[#Totals],[7]]/tbl[[#Totals],[6]])</totalsRowFormula>
    </tableColumn>
    <tableColumn id="11" name="10" totalsRowFunction="custom" dataDxfId="17" totalsRowDxfId="5">
      <calculatedColumnFormula>IF(I7=0,0,I7/H7*100)</calculatedColumnFormula>
      <totalsRowFormula>IF(tbl[[#Totals],[7]]=0,0,tbl[[#Totals],[8]]/tbl[[#Totals],[7]]*100)</totalsRowFormula>
    </tableColumn>
    <tableColumn id="12" name="11" totalsRowFunction="sum" dataDxfId="22" totalsRowDxfId="4"/>
    <tableColumn id="13" name="12" totalsRowFunction="sum" dataDxfId="21" totalsRowDxfId="3"/>
    <tableColumn id="14" name="13" totalsRowFunction="sum" dataDxfId="20" totalsRowDxfId="2"/>
    <tableColumn id="15" name="14" totalsRowFunction="custom" dataDxfId="18" totalsRowDxfId="1">
      <calculatedColumnFormula>IF(M7=0,0,M7/L7)</calculatedColumnFormula>
      <totalsRowFormula>IF(tbl[[#Totals],[11]]=0,0,tbl[[#Totals],[12]]/tbl[[#Totals],[11]])</totalsRowFormula>
    </tableColumn>
    <tableColumn id="16" name="15" totalsRowFunction="custom" dataDxfId="16" totalsRowDxfId="0">
      <calculatedColumnFormula>IF(N7=0,0,N7/M7*100)</calculatedColumnFormula>
      <totalsRowFormula>IF(tbl[[#Totals],[12]]=0,0,tbl[[#Totals],[13]]/tbl[[#Totals],[12]]*100)</totalsRowFormula>
    </tableColumn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1"/>
  <dimension ref="A2:P12"/>
  <sheetViews>
    <sheetView tabSelected="1" workbookViewId="0">
      <selection activeCell="A7" sqref="A7"/>
    </sheetView>
  </sheetViews>
  <sheetFormatPr defaultRowHeight="15"/>
  <cols>
    <col min="1" max="1" width="14.7109375" customWidth="1"/>
  </cols>
  <sheetData>
    <row r="2" spans="1:16">
      <c r="B2" s="16" t="s">
        <v>28</v>
      </c>
      <c r="C2" s="16"/>
      <c r="D2" s="16"/>
      <c r="E2" s="16"/>
      <c r="K2" s="17"/>
      <c r="L2" s="17"/>
      <c r="M2" s="17"/>
      <c r="N2" s="17"/>
      <c r="O2" s="17"/>
      <c r="P2" s="17"/>
    </row>
    <row r="4" spans="1:16" ht="15.75">
      <c r="A4" s="22" t="s">
        <v>0</v>
      </c>
      <c r="B4" s="23" t="s">
        <v>1</v>
      </c>
      <c r="C4" s="24"/>
      <c r="D4" s="24"/>
      <c r="E4" s="24"/>
      <c r="F4" s="25"/>
      <c r="G4" s="26" t="s">
        <v>2</v>
      </c>
      <c r="H4" s="24"/>
      <c r="I4" s="24"/>
      <c r="J4" s="24"/>
      <c r="K4" s="25"/>
      <c r="L4" s="23" t="s">
        <v>3</v>
      </c>
      <c r="M4" s="24"/>
      <c r="N4" s="24"/>
      <c r="O4" s="24"/>
      <c r="P4" s="25"/>
    </row>
    <row r="5" spans="1:16" ht="51">
      <c r="A5" s="22"/>
      <c r="B5" s="3" t="s">
        <v>4</v>
      </c>
      <c r="C5" s="3" t="s">
        <v>5</v>
      </c>
      <c r="D5" s="3" t="s">
        <v>6</v>
      </c>
      <c r="E5" s="3" t="s">
        <v>7</v>
      </c>
      <c r="F5" s="3" t="s">
        <v>8</v>
      </c>
      <c r="G5" s="3" t="s">
        <v>4</v>
      </c>
      <c r="H5" s="3" t="s">
        <v>5</v>
      </c>
      <c r="I5" s="3" t="s">
        <v>6</v>
      </c>
      <c r="J5" s="3" t="s">
        <v>7</v>
      </c>
      <c r="K5" s="3" t="s">
        <v>8</v>
      </c>
      <c r="L5" s="3" t="s">
        <v>4</v>
      </c>
      <c r="M5" s="3" t="s">
        <v>5</v>
      </c>
      <c r="N5" s="3" t="s">
        <v>6</v>
      </c>
      <c r="O5" s="3" t="s">
        <v>7</v>
      </c>
      <c r="P5" s="3" t="s">
        <v>8</v>
      </c>
    </row>
    <row r="6" spans="1:16" ht="15.75">
      <c r="A6" s="13" t="s">
        <v>12</v>
      </c>
      <c r="B6" s="14" t="s">
        <v>13</v>
      </c>
      <c r="C6" s="2" t="s">
        <v>14</v>
      </c>
      <c r="D6" s="14" t="s">
        <v>15</v>
      </c>
      <c r="E6" s="2" t="s">
        <v>16</v>
      </c>
      <c r="F6" s="14" t="s">
        <v>17</v>
      </c>
      <c r="G6" s="2" t="s">
        <v>18</v>
      </c>
      <c r="H6" s="14" t="s">
        <v>19</v>
      </c>
      <c r="I6" s="2" t="s">
        <v>20</v>
      </c>
      <c r="J6" s="14" t="s">
        <v>21</v>
      </c>
      <c r="K6" s="2" t="s">
        <v>22</v>
      </c>
      <c r="L6" s="14" t="s">
        <v>23</v>
      </c>
      <c r="M6" s="2" t="s">
        <v>24</v>
      </c>
      <c r="N6" s="14" t="s">
        <v>25</v>
      </c>
      <c r="O6" s="2" t="s">
        <v>26</v>
      </c>
      <c r="P6" s="15" t="s">
        <v>27</v>
      </c>
    </row>
    <row r="7" spans="1:16" ht="18.75">
      <c r="A7" s="11"/>
      <c r="B7" s="4"/>
      <c r="C7" s="5"/>
      <c r="D7" s="5"/>
      <c r="E7" s="6">
        <f>IF(B7=0,0,C7/B7)</f>
        <v>0</v>
      </c>
      <c r="F7" s="7">
        <f>IF(C7=0,0,D7/C7*100)</f>
        <v>0</v>
      </c>
      <c r="G7" s="8"/>
      <c r="H7" s="5"/>
      <c r="I7" s="5"/>
      <c r="J7" s="6">
        <f>IF(H7=0,0,H7/G7)</f>
        <v>0</v>
      </c>
      <c r="K7" s="7">
        <f>IF(I7=0,0,I7/H7*100)</f>
        <v>0</v>
      </c>
      <c r="L7" s="9"/>
      <c r="M7" s="10"/>
      <c r="N7" s="10"/>
      <c r="O7" s="6">
        <f>IF(M7=0,0,M7/L7)</f>
        <v>0</v>
      </c>
      <c r="P7" s="12">
        <f>IF(N7=0,0,N7/M7*100)</f>
        <v>0</v>
      </c>
    </row>
    <row r="8" spans="1:16" ht="18.75">
      <c r="A8" s="31" t="s">
        <v>29</v>
      </c>
      <c r="B8" s="28">
        <f>SUBTOTAL(109,[1])</f>
        <v>0</v>
      </c>
      <c r="C8" s="29">
        <f>SUBTOTAL(109,[2])</f>
        <v>0</v>
      </c>
      <c r="D8" s="29">
        <f>SUBTOTAL(109,[3])</f>
        <v>0</v>
      </c>
      <c r="E8" s="34">
        <f>IF(tbl[[#Totals],[1]]=0,0,tbl[[#Totals],[2]]/tbl[[#Totals],[1]])</f>
        <v>0</v>
      </c>
      <c r="F8" s="35">
        <f>IF(tbl[[#Totals],[2]]=0,0,tbl[[#Totals],[3]]/tbl[[#Totals],[2]]*100)</f>
        <v>0</v>
      </c>
      <c r="G8" s="30">
        <f>SUBTOTAL(109,[6])</f>
        <v>0</v>
      </c>
      <c r="H8" s="29">
        <f>SUBTOTAL(109,[7])</f>
        <v>0</v>
      </c>
      <c r="I8" s="29">
        <f>SUBTOTAL(109,[8])</f>
        <v>0</v>
      </c>
      <c r="J8" s="34">
        <f>IF(tbl[[#Totals],[6]]=0,0,tbl[[#Totals],[7]]/tbl[[#Totals],[6]])</f>
        <v>0</v>
      </c>
      <c r="K8" s="35">
        <f>IF(tbl[[#Totals],[7]]=0,0,tbl[[#Totals],[8]]/tbl[[#Totals],[7]]*100)</f>
        <v>0</v>
      </c>
      <c r="L8" s="32">
        <f>SUBTOTAL(109,[11])</f>
        <v>0</v>
      </c>
      <c r="M8" s="33">
        <f>SUBTOTAL(109,[12])</f>
        <v>0</v>
      </c>
      <c r="N8" s="33">
        <f>SUBTOTAL(109,[13])</f>
        <v>0</v>
      </c>
      <c r="O8" s="34">
        <f>IF(tbl[[#Totals],[11]]=0,0,tbl[[#Totals],[12]]/tbl[[#Totals],[11]])</f>
        <v>0</v>
      </c>
      <c r="P8" s="35">
        <f>IF(tbl[[#Totals],[12]]=0,0,tbl[[#Totals],[13]]/tbl[[#Totals],[12]]*100)</f>
        <v>0</v>
      </c>
    </row>
    <row r="9" spans="1:16" ht="25.5">
      <c r="A9" s="1" t="s">
        <v>9</v>
      </c>
      <c r="B9" s="27">
        <f>B8+G8+L8</f>
        <v>0</v>
      </c>
      <c r="C9" s="22"/>
      <c r="D9" s="22"/>
      <c r="E9" s="22"/>
      <c r="F9" s="22"/>
      <c r="G9" s="22"/>
      <c r="H9" s="22"/>
      <c r="I9" s="22"/>
      <c r="J9" s="22"/>
      <c r="K9" s="22"/>
      <c r="L9" s="22"/>
      <c r="M9" s="22"/>
      <c r="N9" s="22"/>
      <c r="O9" s="22"/>
      <c r="P9" s="22"/>
    </row>
    <row r="10" spans="1:16" ht="25.5">
      <c r="A10" s="1" t="s">
        <v>10</v>
      </c>
      <c r="B10" s="27">
        <f>C8+H8+M8</f>
        <v>0</v>
      </c>
      <c r="C10" s="22"/>
      <c r="D10" s="22"/>
      <c r="E10" s="22"/>
      <c r="F10" s="22"/>
      <c r="G10" s="22"/>
      <c r="H10" s="22"/>
      <c r="I10" s="22"/>
      <c r="J10" s="22"/>
      <c r="K10" s="22"/>
      <c r="L10" s="22"/>
      <c r="M10" s="22"/>
      <c r="N10" s="22"/>
      <c r="O10" s="22"/>
      <c r="P10" s="22"/>
    </row>
    <row r="11" spans="1:16" ht="25.5">
      <c r="A11" s="1" t="s">
        <v>11</v>
      </c>
      <c r="B11" s="18">
        <f>D8+I8+N8</f>
        <v>0</v>
      </c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</row>
    <row r="12" spans="1:16" ht="25.5">
      <c r="A12" s="1" t="s">
        <v>7</v>
      </c>
      <c r="B12" s="20">
        <f>IF(B9=0,0,B10/B9)</f>
        <v>0</v>
      </c>
      <c r="C12" s="21"/>
      <c r="D12" s="21"/>
      <c r="E12" s="21"/>
      <c r="F12" s="21"/>
      <c r="G12" s="21"/>
      <c r="H12" s="21"/>
      <c r="I12" s="21"/>
      <c r="J12" s="21"/>
      <c r="K12" s="21"/>
      <c r="L12" s="21"/>
      <c r="M12" s="21"/>
      <c r="N12" s="21"/>
      <c r="O12" s="21"/>
      <c r="P12" s="21"/>
    </row>
  </sheetData>
  <mergeCells count="10">
    <mergeCell ref="B2:E2"/>
    <mergeCell ref="K2:P2"/>
    <mergeCell ref="B11:P11"/>
    <mergeCell ref="B12:P12"/>
    <mergeCell ref="A4:A5"/>
    <mergeCell ref="B4:F4"/>
    <mergeCell ref="G4:K4"/>
    <mergeCell ref="L4:P4"/>
    <mergeCell ref="B9:P9"/>
    <mergeCell ref="B10:P10"/>
  </mergeCells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2022-01-11T05:19:12Z</dcterms:modified>
</cp:coreProperties>
</file>