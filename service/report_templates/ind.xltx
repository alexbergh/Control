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120" yWindow="105" windowWidth="15120" windowHeight="8010"/>
  </bookViews>
  <sheets>
    <sheet name="Подробно" sheetId="1" r:id="rId1"/>
    <sheet name="Для приказа" sheetId="4" r:id="rId2"/>
    <sheet name="Ступени" sheetId="5" r:id="rId3"/>
  </sheets>
  <calcPr calcId="125725"/>
</workbook>
</file>

<file path=xl/calcChain.xml><?xml version="1.0" encoding="utf-8"?>
<calcChain xmlns="http://schemas.openxmlformats.org/spreadsheetml/2006/main">
  <c r="F4" i="1"/>
  <c r="F5" i="5"/>
  <c r="E5"/>
  <c r="D5"/>
  <c r="C5"/>
  <c r="B5"/>
  <c r="F5" i="4"/>
  <c r="H5"/>
  <c r="I5"/>
  <c r="J5"/>
  <c r="K5"/>
  <c r="G5"/>
  <c r="E5"/>
  <c r="D5"/>
  <c r="C5"/>
  <c r="B5"/>
</calcChain>
</file>

<file path=xl/sharedStrings.xml><?xml version="1.0" encoding="utf-8"?>
<sst xmlns="http://schemas.openxmlformats.org/spreadsheetml/2006/main" count="39" uniqueCount="28">
  <si>
    <t>Цех</t>
  </si>
  <si>
    <t>ФИО</t>
  </si>
  <si>
    <t>Ступень</t>
  </si>
  <si>
    <t>Подпись</t>
  </si>
  <si>
    <t>Ст</t>
  </si>
  <si>
    <t>Кол-во пр</t>
  </si>
  <si>
    <t>Цех/отдел</t>
  </si>
  <si>
    <t>Дежурство</t>
  </si>
  <si>
    <t>Комиссия</t>
  </si>
  <si>
    <t>выявлено</t>
  </si>
  <si>
    <t>устранено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</si>
  <si>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</si>
  <si>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</si>
  <si>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</si>
  <si>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</si>
  <si>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</si>
  <si>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</si>
  <si>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</si>
  <si>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</si>
  <si>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</si>
  <si>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</si>
  <si>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</si>
  <si>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Всего проведено проверок</t>
  </si>
  <si>
    <t>выявлено замечаний</t>
  </si>
  <si>
    <t>просрочен срок исполнения</t>
  </si>
  <si>
    <t>Итог</t>
  </si>
  <si>
    <t>Выявленные</t>
  </si>
  <si>
    <t>активных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</si>
</sst>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left" vertical="center"/>
    </xf>
    <xf numFmtId="0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8" xfId="0" applyBorder="1"/>
    <xf numFmtId="0" fontId="0" fillId="0" borderId="8" xfId="0" applyNumberFormat="1" applyBorder="1"/>
    <xf numFmtId="0" fontId="0" fillId="0" borderId="10" xfId="0" applyBorder="1"/>
    <xf numFmtId="0" fontId="0" fillId="0" borderId="10" xfId="0" applyNumberFormat="1" applyBorder="1"/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0" fillId="0" borderId="9" xfId="0" applyBorder="1"/>
    <xf numFmtId="0" fontId="0" fillId="0" borderId="9" xfId="0" applyNumberFormat="1" applyBorder="1"/>
    <xf numFmtId="0" fontId="0" fillId="0" borderId="14" xfId="0" applyBorder="1"/>
    <xf numFmtId="0" fontId="0" fillId="0" borderId="12" xfId="0" applyBorder="1"/>
    <xf numFmtId="0" fontId="0" fillId="0" borderId="13" xfId="0" applyBorder="1"/>
  </cellXfs>
  <cellStyles count="1">
    <cellStyle name="Обычный" xfId="0" builtinId="0"/>
  </cellStyles>
  <dxfs count="45"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medium">
          <color indexed="64"/>
        </top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relativeIndent="0" justifyLastLine="0" shrinkToFit="0" mergeCell="0" readingOrder="0"/>
      <border diagonalUp="0" diagonalDown="0">
        <left/>
        <right/>
        <top/>
        <bottom/>
      </border>
    </dxf>
    <dxf>
      <border>
        <bottom style="medium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ck">
          <color auto="1"/>
        </left>
        <right/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ck">
          <color auto="1"/>
        </right>
        <top/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ck">
          <color auto="1"/>
        </left>
        <right/>
        <top/>
        <bottom/>
      </border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readingOrder="0"/>
      <border diagonalUp="0" diagonalDown="0">
        <left/>
        <right style="thick">
          <color auto="1"/>
        </right>
        <top/>
        <bottom/>
      </border>
    </dxf>
    <dxf>
      <alignment horizontal="center" vertical="center" textRotation="0" wrapText="0" indent="0" relativeIndent="255" justifyLastLine="0" shrinkToFit="0" readingOrder="0"/>
      <border diagonalUp="0" diagonalDown="0">
        <left style="thick">
          <color auto="1"/>
        </left>
        <right/>
        <top/>
        <bottom/>
      </border>
    </dxf>
    <dxf>
      <alignment horizontal="center" vertical="center" textRotation="0" wrapText="0" indent="0" relativeIndent="255" justifyLastLine="0" shrinkToFit="0" readingOrder="0"/>
      <border diagonalUp="0" diagonalDown="0">
        <left/>
        <right style="thick">
          <color auto="1"/>
        </right>
        <top/>
        <bottom/>
      </border>
    </dxf>
    <dxf>
      <alignment horizontal="center" vertical="center" textRotation="0" wrapText="0" indent="0" relativeIndent="255" justifyLastLine="0" shrinkToFit="0" readingOrder="0"/>
      <border diagonalUp="0" diagonalDown="0">
        <left style="thick">
          <color auto="1"/>
        </left>
        <right/>
        <top/>
        <bottom/>
      </border>
    </dxf>
    <dxf>
      <numFmt numFmtId="0" formatCode="General"/>
      <alignment horizontal="center" vertical="center" textRotation="0" wrapText="0" indent="0" relativeIndent="255" justifyLastLine="0" shrinkToFit="0" readingOrder="0"/>
      <border diagonalUp="0" diagonalDown="0" outline="0">
        <left/>
        <right style="thick">
          <color auto="1"/>
        </right>
        <top/>
        <bottom/>
      </border>
    </dxf>
    <dxf>
      <numFmt numFmtId="0" formatCode="General"/>
      <alignment horizontal="center" vertical="center" textRotation="0" wrapText="0" indent="0" relativeIndent="255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numFmt numFmtId="0" formatCode="General"/>
      <alignment horizontal="center" vertical="center" textRotation="0" wrapText="0" indent="0" relativeIndent="255" justifyLastLine="0" shrinkToFit="0" readingOrder="0"/>
      <border diagonalUp="0" diagonalDown="0" outline="0">
        <left/>
        <right style="thick">
          <color auto="1"/>
        </right>
        <top/>
        <bottom/>
      </border>
    </dxf>
    <dxf>
      <numFmt numFmtId="0" formatCode="General"/>
      <alignment horizontal="center" vertical="center" textRotation="0" wrapText="0" indent="0" relativeIndent="255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numFmt numFmtId="0" formatCode="General"/>
      <alignment horizontal="center" vertical="center" textRotation="0" wrapText="0" indent="0" relativeIndent="255" justifyLastLine="0" shrinkToFit="0" readingOrder="0"/>
      <border diagonalUp="0" diagonalDown="0" outline="0">
        <left/>
        <right style="thick">
          <color auto="1"/>
        </right>
        <top/>
        <bottom/>
      </border>
    </dxf>
    <dxf>
      <numFmt numFmtId="0" formatCode="General"/>
      <alignment horizontal="center" vertical="center" textRotation="0" wrapText="0" indent="0" relativeIndent="255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alignment horizontal="left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bPod" displayName="tbPod" ref="A2:F4" insertRow="1" totalsRowCount="1">
  <autoFilter ref="A2:F3"/>
  <tableColumns count="6">
    <tableColumn id="1" name="Цех" totalsRowLabel="Итог" dataDxfId="44"/>
    <tableColumn id="2" name="ФИО" dataDxfId="43"/>
    <tableColumn id="3" name="Ст" dataDxfId="42"/>
    <tableColumn id="4" name="Кол-во пр" dataDxfId="41"/>
    <tableColumn id="5" name="Выявленные" dataDxfId="40"/>
    <tableColumn id="6" name="Подпись" totalsRowFunction="count" dataDxfId="3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bPr" displayName="tbPr" ref="A3:K5" totalsRowCount="1" headerRowDxfId="38">
  <autoFilter ref="A3:K4"/>
  <tableColumns count="11">
    <tableColumn id="1" name="1" totalsRowLabel="Итог" dataDxfId="37" totalsRowDxfId="26"/>
    <tableColumn id="2" name="2" totalsRowFunction="sum" dataDxfId="36" totalsRowDxfId="25"/>
    <tableColumn id="3" name="3" totalsRowFunction="sum" dataDxfId="35" totalsRowDxfId="24"/>
    <tableColumn id="4" name="4" totalsRowFunction="sum" dataDxfId="34" totalsRowDxfId="23"/>
    <tableColumn id="5" name="5" totalsRowFunction="sum" dataDxfId="33" totalsRowDxfId="22"/>
    <tableColumn id="6" name="6" totalsRowFunction="sum" dataDxfId="32" totalsRowDxfId="21"/>
    <tableColumn id="7" name="7" totalsRowFunction="sum" dataDxfId="31" totalsRowDxfId="20"/>
    <tableColumn id="8" name="8" totalsRowFunction="sum" dataDxfId="30" totalsRowDxfId="19"/>
    <tableColumn id="9" name="9" totalsRowFunction="sum" dataDxfId="29" totalsRowDxfId="18"/>
    <tableColumn id="10" name="10" totalsRowFunction="sum" dataDxfId="28" totalsRowDxfId="17"/>
    <tableColumn id="11" name="11" totalsRowFunction="sum" dataDxfId="27" totalsRowDxfId="16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3" name="tbStup" displayName="tbStup" ref="A1:F5" totalsRowCount="1" headerRowDxfId="8" totalsRowDxfId="0" headerRowBorderDxfId="9" totalsRowBorderDxfId="7">
  <autoFilter ref="A1:F4"/>
  <tableColumns count="6">
    <tableColumn id="1" name="Ступень" totalsRowLabel="Итог" dataDxfId="15" totalsRowDxfId="6"/>
    <tableColumn id="2" name="Всего проведено проверок" totalsRowFunction="sum" dataDxfId="14" totalsRowDxfId="5"/>
    <tableColumn id="3" name="выявлено замечаний" totalsRowFunction="sum" dataDxfId="13" totalsRowDxfId="4"/>
    <tableColumn id="4" name="устранено" totalsRowFunction="sum" dataDxfId="12" totalsRowDxfId="3"/>
    <tableColumn id="5" name="активных" totalsRowFunction="sum" dataDxfId="11" totalsRowDxfId="2"/>
    <tableColumn id="6" name="просрочен срок исполнения" totalsRowFunction="sum" dataDxfId="10" totalsRow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8"/>
  <sheetViews>
    <sheetView tabSelected="1" workbookViewId="0">
      <selection activeCell="A3" sqref="A3"/>
    </sheetView>
  </sheetViews>
  <sheetFormatPr defaultRowHeight="15"/>
  <cols>
    <col min="1" max="1" width="11.85546875" customWidth="1"/>
    <col min="2" max="2" width="26.140625" customWidth="1"/>
    <col min="3" max="3" width="5.28515625" customWidth="1"/>
    <col min="4" max="4" width="12.140625" customWidth="1"/>
    <col min="5" max="6" width="11.7109375" customWidth="1"/>
  </cols>
  <sheetData>
    <row r="1" spans="1:6">
      <c r="A1" s="11"/>
      <c r="B1" s="11"/>
      <c r="C1" s="11"/>
      <c r="D1" s="11"/>
      <c r="E1" s="11"/>
      <c r="F1" s="11"/>
    </row>
    <row r="2" spans="1:6">
      <c r="A2" t="s">
        <v>0</v>
      </c>
      <c r="B2" t="s">
        <v>1</v>
      </c>
      <c r="C2" t="s">
        <v>4</v>
      </c>
      <c r="D2" t="s">
        <v>5</v>
      </c>
      <c r="E2" s="8" t="s">
        <v>26</v>
      </c>
      <c r="F2" t="s">
        <v>3</v>
      </c>
    </row>
    <row r="3" spans="1:6">
      <c r="A3" s="3"/>
      <c r="B3" s="3"/>
      <c r="C3" s="2"/>
      <c r="D3" s="2"/>
      <c r="E3" s="2"/>
      <c r="F3" s="2"/>
    </row>
    <row r="4" spans="1:6">
      <c r="A4" t="s">
        <v>25</v>
      </c>
      <c r="F4">
        <f>SUBTOTAL(103,[Подпись])</f>
        <v>0</v>
      </c>
    </row>
    <row r="5" spans="1:6">
      <c r="A5" s="1"/>
      <c r="B5" s="1"/>
      <c r="C5" s="1"/>
      <c r="D5" s="1"/>
      <c r="E5" s="1"/>
      <c r="F5" s="1"/>
    </row>
    <row r="6" spans="1:6">
      <c r="A6" s="1"/>
      <c r="B6" s="1"/>
      <c r="C6" s="1"/>
      <c r="D6" s="1"/>
      <c r="E6" s="1"/>
      <c r="F6" s="1"/>
    </row>
    <row r="7" spans="1:6">
      <c r="A7" s="1"/>
      <c r="B7" s="1"/>
      <c r="C7" s="1"/>
      <c r="D7" s="1"/>
      <c r="E7" s="1"/>
      <c r="F7" s="1"/>
    </row>
    <row r="8" spans="1:6">
      <c r="A8" s="1"/>
      <c r="B8" s="1"/>
      <c r="C8" s="1"/>
      <c r="D8" s="1"/>
      <c r="E8" s="1"/>
      <c r="F8" s="1"/>
    </row>
  </sheetData>
  <mergeCells count="1">
    <mergeCell ref="A1:F1"/>
  </mergeCells>
  <pageMargins left="0.7" right="0.7" top="0.75" bottom="0.75" header="0.3" footer="0.3"/>
  <pageSetup paperSize="9" orientation="portrait" horizontalDpi="180" verticalDpi="18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K8"/>
  <sheetViews>
    <sheetView workbookViewId="0">
      <selection activeCell="B4" sqref="B4"/>
    </sheetView>
  </sheetViews>
  <sheetFormatPr defaultRowHeight="15"/>
  <cols>
    <col min="1" max="1" width="21.5703125" customWidth="1"/>
    <col min="2" max="2" width="11.42578125" customWidth="1"/>
    <col min="3" max="3" width="11.140625" customWidth="1"/>
    <col min="4" max="4" width="11.42578125" customWidth="1"/>
    <col min="5" max="5" width="11.140625" customWidth="1"/>
    <col min="6" max="6" width="11.42578125" customWidth="1"/>
    <col min="7" max="7" width="11.140625" customWidth="1"/>
    <col min="8" max="8" width="11.42578125" customWidth="1"/>
    <col min="9" max="9" width="11.140625" customWidth="1"/>
    <col min="10" max="10" width="11.42578125" customWidth="1"/>
    <col min="11" max="11" width="11.140625" customWidth="1"/>
  </cols>
  <sheetData>
    <row r="1" spans="1:11" ht="15.75" thickBot="1">
      <c r="A1" s="14" t="s">
        <v>6</v>
      </c>
      <c r="B1" s="12">
        <v>1</v>
      </c>
      <c r="C1" s="13"/>
      <c r="D1" s="12">
        <v>2</v>
      </c>
      <c r="E1" s="13"/>
      <c r="F1" s="12">
        <v>3</v>
      </c>
      <c r="G1" s="13"/>
      <c r="H1" s="12" t="s">
        <v>7</v>
      </c>
      <c r="I1" s="13"/>
      <c r="J1" s="12" t="s">
        <v>8</v>
      </c>
      <c r="K1" s="13"/>
    </row>
    <row r="2" spans="1:11" ht="16.5" thickBot="1">
      <c r="A2" s="15"/>
      <c r="B2" s="4" t="s">
        <v>9</v>
      </c>
      <c r="C2" s="4" t="s">
        <v>10</v>
      </c>
      <c r="D2" s="4" t="s">
        <v>9</v>
      </c>
      <c r="E2" s="4" t="s">
        <v>10</v>
      </c>
      <c r="F2" s="4" t="s">
        <v>9</v>
      </c>
      <c r="G2" s="4" t="s">
        <v>10</v>
      </c>
      <c r="H2" s="4" t="s">
        <v>9</v>
      </c>
      <c r="I2" s="4" t="s">
        <v>10</v>
      </c>
      <c r="J2" s="4" t="s">
        <v>9</v>
      </c>
      <c r="K2" s="4" t="s">
        <v>10</v>
      </c>
    </row>
    <row r="3" spans="1:11">
      <c r="A3" s="2" t="s">
        <v>11</v>
      </c>
      <c r="B3" s="2" t="s">
        <v>12</v>
      </c>
      <c r="C3" s="2" t="s">
        <v>13</v>
      </c>
      <c r="D3" s="2" t="s">
        <v>14</v>
      </c>
      <c r="E3" s="2" t="s">
        <v>15</v>
      </c>
      <c r="F3" s="2" t="s">
        <v>16</v>
      </c>
      <c r="G3" s="2" t="s">
        <v>17</v>
      </c>
      <c r="H3" s="2" t="s">
        <v>18</v>
      </c>
      <c r="I3" s="2" t="s">
        <v>19</v>
      </c>
      <c r="J3" s="2" t="s">
        <v>20</v>
      </c>
      <c r="K3" s="2" t="s">
        <v>21</v>
      </c>
    </row>
    <row r="4" spans="1:11">
      <c r="A4" s="9"/>
      <c r="B4" s="7"/>
      <c r="C4" s="10"/>
      <c r="D4" s="7"/>
      <c r="E4" s="10"/>
      <c r="F4" s="7"/>
      <c r="G4" s="10"/>
      <c r="H4" s="5"/>
      <c r="I4" s="6"/>
      <c r="J4" s="5"/>
      <c r="K4" s="6"/>
    </row>
    <row r="5" spans="1:11">
      <c r="A5" s="9" t="s">
        <v>25</v>
      </c>
      <c r="B5" s="5">
        <f>SUBTOTAL(109,[2])</f>
        <v>0</v>
      </c>
      <c r="C5" s="6">
        <f>SUBTOTAL(109,[3])</f>
        <v>0</v>
      </c>
      <c r="D5" s="5">
        <f>SUBTOTAL(109,[4])</f>
        <v>0</v>
      </c>
      <c r="E5" s="6">
        <f>SUBTOTAL(109,[5])</f>
        <v>0</v>
      </c>
      <c r="F5" s="5">
        <f>SUBTOTAL(109,[6])</f>
        <v>0</v>
      </c>
      <c r="G5" s="6">
        <f>SUBTOTAL(109,[7])</f>
        <v>0</v>
      </c>
      <c r="H5" s="5">
        <f>SUBTOTAL(109,[8])</f>
        <v>0</v>
      </c>
      <c r="I5" s="6">
        <f>SUBTOTAL(109,[9])</f>
        <v>0</v>
      </c>
      <c r="J5" s="5">
        <f>SUBTOTAL(109,[10])</f>
        <v>0</v>
      </c>
      <c r="K5" s="6">
        <f>SUBTOTAL(109,[11])</f>
        <v>0</v>
      </c>
    </row>
    <row r="8" spans="1:11">
      <c r="B8" s="8"/>
    </row>
  </sheetData>
  <mergeCells count="6">
    <mergeCell ref="J1:K1"/>
    <mergeCell ref="A1:A2"/>
    <mergeCell ref="B1:C1"/>
    <mergeCell ref="D1:E1"/>
    <mergeCell ref="F1:G1"/>
    <mergeCell ref="H1:I1"/>
  </mergeCells>
  <pageMargins left="0.7" right="0.7" top="0.75" bottom="0.75" header="0.3" footer="0.3"/>
  <pageSetup paperSize="9" orientation="portrait" horizontalDpi="30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F5"/>
  <sheetViews>
    <sheetView workbookViewId="0">
      <selection activeCell="B2" sqref="B2"/>
    </sheetView>
  </sheetViews>
  <sheetFormatPr defaultRowHeight="15"/>
  <cols>
    <col min="1" max="1" width="17.42578125" style="8" customWidth="1"/>
    <col min="2" max="2" width="28.85546875" style="8" customWidth="1"/>
    <col min="3" max="3" width="27.28515625" style="8" customWidth="1"/>
    <col min="4" max="4" width="22.85546875" style="8" customWidth="1"/>
    <col min="5" max="5" width="19.140625" style="8" customWidth="1"/>
    <col min="6" max="6" width="30.42578125" style="8" customWidth="1"/>
    <col min="7" max="16384" width="9.140625" style="8"/>
  </cols>
  <sheetData>
    <row r="1" spans="1:6" ht="47.25" customHeight="1" thickBot="1">
      <c r="A1" s="20" t="s">
        <v>2</v>
      </c>
      <c r="B1" s="21" t="s">
        <v>22</v>
      </c>
      <c r="C1" s="22" t="s">
        <v>23</v>
      </c>
      <c r="D1" s="22" t="s">
        <v>10</v>
      </c>
      <c r="E1" s="22" t="s">
        <v>27</v>
      </c>
      <c r="F1" s="23" t="s">
        <v>24</v>
      </c>
    </row>
    <row r="2" spans="1:6">
      <c r="A2" s="18">
        <v>1</v>
      </c>
      <c r="B2" s="18"/>
      <c r="C2" s="19"/>
      <c r="D2" s="19"/>
      <c r="E2" s="19"/>
      <c r="F2" s="19"/>
    </row>
    <row r="3" spans="1:6">
      <c r="A3" s="16">
        <v>2</v>
      </c>
      <c r="B3" s="16"/>
      <c r="C3" s="17"/>
      <c r="D3" s="17"/>
      <c r="E3" s="17"/>
      <c r="F3" s="17"/>
    </row>
    <row r="4" spans="1:6" ht="15.75" thickBot="1">
      <c r="A4" s="24">
        <v>3</v>
      </c>
      <c r="B4" s="24"/>
      <c r="C4" s="25"/>
      <c r="D4" s="25"/>
      <c r="E4" s="25"/>
      <c r="F4" s="25"/>
    </row>
    <row r="5" spans="1:6" ht="15.75" thickBot="1">
      <c r="A5" s="26" t="s">
        <v>25</v>
      </c>
      <c r="B5" s="27">
        <f>SUBTOTAL(109,[Всего проведено проверок])</f>
        <v>0</v>
      </c>
      <c r="C5" s="27">
        <f>SUBTOTAL(109,[выявлено замечаний])</f>
        <v>0</v>
      </c>
      <c r="D5" s="27">
        <f>SUBTOTAL(109,[устранено])</f>
        <v>0</v>
      </c>
      <c r="E5" s="27">
        <f>SUBTOTAL(109,[активных])</f>
        <v>0</v>
      </c>
      <c r="F5" s="28">
        <f>SUBTOTAL(109,[просрочен срок исполнения])</f>
        <v>0</v>
      </c>
    </row>
  </sheetData>
  <pageMargins left="0.7" right="0.7" top="0.75" bottom="0.75" header="0.3" footer="0.3"/>
  <pageSetup paperSize="9" orientation="portrait" horizontalDpi="30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Подробно</vt:lpstr>
      <vt:lpstr>Для приказа</vt:lpstr>
      <vt:lpstr>Ступени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</dc:creator>
  <cp:lastModifiedBy>q</cp:lastModifiedBy>
  <dcterms:created xsi:type="dcterms:W3CDTF">2006-09-28T05:33:49Z</dcterms:created>
  <dcterms:modified xsi:type="dcterms:W3CDTF">2022-01-13T09:15:39Z</dcterms:modified>
</cp:coreProperties>
</file>