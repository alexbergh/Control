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0" yWindow="60" windowWidth="28560" windowHeight="13110"/>
  </bookViews>
  <sheets>
    <sheet name="Итог" sheetId="12" r:id="rId1"/>
  </sheets>
  <calcPr calcId="125725"/>
</workbook>
</file>

<file path=xl/calcChain.xml><?xml version="1.0" encoding="utf-8"?>
<calcChain xmlns="http://schemas.openxmlformats.org/spreadsheetml/2006/main">
  <c r="AM9" i="12"/>
  <c r="AL7"/>
  <c r="AM7"/>
  <c r="AL6"/>
  <c r="AM6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D8"/>
  <c r="C8"/>
  <c r="B8"/>
  <c r="AL5" l="1"/>
  <c r="AL8" s="1"/>
  <c r="AM5"/>
  <c r="AM8" s="1"/>
</calcChain>
</file>

<file path=xl/sharedStrings.xml><?xml version="1.0" encoding="utf-8"?>
<sst xmlns="http://schemas.openxmlformats.org/spreadsheetml/2006/main" count="85" uniqueCount="85">
  <si>
    <t>Количество проверяющих в отчетный период</t>
  </si>
  <si>
    <t>Количество  дней проверок за отчетный период</t>
  </si>
  <si>
    <t>Общее количество замечаний по ОТ</t>
  </si>
  <si>
    <t>Общее количество замечаний по  ТЭ, ПБ, ПрБ и Э</t>
  </si>
  <si>
    <t>Меры принятые к нарушителям</t>
  </si>
  <si>
    <t>Разбивка по категориям нарушений</t>
  </si>
  <si>
    <t>Снижение ИСН</t>
  </si>
  <si>
    <t>Внеочередная проверка знаний</t>
  </si>
  <si>
    <t>Дисциплинарные взыскания</t>
  </si>
  <si>
    <t>Ведение претензионной работы с подрядчиком</t>
  </si>
  <si>
    <t>Средства индивидуальной и коллективной защиты</t>
  </si>
  <si>
    <t>Нарушения по наряду-допуску, акту-допуску</t>
  </si>
  <si>
    <t>Станочное оборудование, инструменты, приспособления</t>
  </si>
  <si>
    <t>Наличие разрешительной и организационной документации</t>
  </si>
  <si>
    <t>Нарушения при производстве работ ПС и ГЗП</t>
  </si>
  <si>
    <t>Подъём и транспортировка тяжестей</t>
  </si>
  <si>
    <t>Санитарно-гигиеническое состояние помещений, рабочих мест</t>
  </si>
  <si>
    <t>Содержание территории</t>
  </si>
  <si>
    <t>Организация складского хозяйства</t>
  </si>
  <si>
    <t>Содержание средств пожаротушения, связи</t>
  </si>
  <si>
    <t>Содержание противопожарного водоснабжения, ПГ, насосы, завесы</t>
  </si>
  <si>
    <t>Содержание установок автоматической противопожарной защиты</t>
  </si>
  <si>
    <t>Хранение ГЖ, ЛВЖ, химреактивов, угольный склад</t>
  </si>
  <si>
    <t>Огневые работы</t>
  </si>
  <si>
    <t>Нарушения при эксплуатации ЭУ</t>
  </si>
  <si>
    <t>Нарушения при эксплуатации оборудования</t>
  </si>
  <si>
    <t>Нарушения графиков регламентного обслуживания оборудования (ТО, ремонты и т.п.)</t>
  </si>
  <si>
    <t>Нарушения производственной дисциплины</t>
  </si>
  <si>
    <t>Нарушения по ведению оперативной документации и ведению оперативных переговоров</t>
  </si>
  <si>
    <t>Нарушения порядка работы с персоналом</t>
  </si>
  <si>
    <t>Общее количество временных рабочих мест</t>
  </si>
  <si>
    <t>Количество проверенных временных рабочих мест</t>
  </si>
  <si>
    <t>Количество проверенных постоянных рабочих мест</t>
  </si>
  <si>
    <t>Количество оформленных предписаний</t>
  </si>
  <si>
    <t>Количество проверенных бригад собственного персонала</t>
  </si>
  <si>
    <t>Кол-во отстранённых бригад/ отстранённого персонала (собственный персонал)</t>
  </si>
  <si>
    <t>Количество  проверенных бригад подрядного персонала</t>
  </si>
  <si>
    <t>Кол-во отстранённых бригад/ отстранённого персонала (персонал подрядной организации)</t>
  </si>
  <si>
    <t>К эффективности ступени по ОТ</t>
  </si>
  <si>
    <t>К эффективности ступени по ТЭ, ПБ, ПрБ и Э</t>
  </si>
  <si>
    <t>КОЭФ. ЭФФЕКТИВНОСТИ ПО 3 СТУПЕНЯМ</t>
  </si>
  <si>
    <t>Итог за 01.01.2022 - 31.01.2022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</si>
  <si>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</si>
  <si>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</si>
  <si>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</si>
  <si>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</si>
  <si>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</si>
  <si>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</si>
  <si>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</si>
  <si>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</si>
  <si>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</si>
  <si>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</si>
  <si>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</si>
  <si>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</si>
  <si>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</si>
  <si>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</si>
  <si>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</si>
  <si>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</si>
  <si>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</si>
  <si>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</si>
  <si>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</si>
  <si>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</si>
  <si>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</si>
  <si>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</si>
  <si>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</si>
  <si>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</si>
  <si>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</si>
  <si>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</si>
  <si>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</si>
  <si>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</si>
  <si>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</si>
  <si>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</si>
  <si>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</si>
  <si>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</si>
  <si>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</si>
  <si>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</si>
  <si>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</si>
  <si>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</si>
  <si>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</si>
  <si>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</si>
  <si>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 xml:space="preserve"> </t>
  </si>
  <si>
    <t>Итог</t>
  </si>
  <si>
    <t>1 ступень</t>
  </si>
  <si>
    <t>2 ступень</t>
  </si>
  <si>
    <t>3 ступень</t>
  </si>
</sst>
</file>

<file path=xl/styles.xml><?xml version="1.0" encoding="utf-8"?>
<styleSheet xmlns="http://schemas.openxmlformats.org/spreadsheetml/2006/main">
  <numFmts count="1">
    <numFmt numFmtId="164" formatCode="0.000"/>
  </numFmts>
  <fonts count="10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sz val="9"/>
      <color theme="1"/>
      <name val="Times New Roman"/>
      <family val="1"/>
      <charset val="204"/>
    </font>
    <font>
      <b/>
      <i/>
      <sz val="26"/>
      <color theme="1"/>
      <name val="Times New Roman"/>
      <family val="1"/>
      <charset val="204"/>
    </font>
    <font>
      <b/>
      <sz val="11"/>
      <color rgb="FFFF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name val="Times New Roman"/>
      <family val="1"/>
      <charset val="204"/>
    </font>
    <font>
      <sz val="9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3">
    <xf numFmtId="0" fontId="0" fillId="0" borderId="0" xfId="0"/>
    <xf numFmtId="0" fontId="2" fillId="2" borderId="9" xfId="0" applyFont="1" applyFill="1" applyBorder="1" applyAlignment="1">
      <alignment horizontal="center" vertical="center" textRotation="90" wrapText="1"/>
    </xf>
    <xf numFmtId="0" fontId="2" fillId="2" borderId="0" xfId="0" applyFont="1" applyFill="1" applyBorder="1" applyAlignment="1">
      <alignment horizontal="center" vertical="center" textRotation="90" wrapText="1"/>
    </xf>
    <xf numFmtId="0" fontId="2" fillId="2" borderId="2" xfId="0" applyFont="1" applyFill="1" applyBorder="1" applyAlignment="1">
      <alignment horizontal="center" vertical="center" textRotation="90" wrapText="1"/>
    </xf>
    <xf numFmtId="0" fontId="2" fillId="2" borderId="6" xfId="0" applyFont="1" applyFill="1" applyBorder="1" applyAlignment="1">
      <alignment horizontal="center" vertical="center" textRotation="90" wrapText="1"/>
    </xf>
    <xf numFmtId="0" fontId="8" fillId="0" borderId="0" xfId="0" applyFont="1"/>
    <xf numFmtId="0" fontId="7" fillId="2" borderId="10" xfId="0" applyFont="1" applyFill="1" applyBorder="1" applyAlignment="1">
      <alignment horizontal="left" vertical="center" wrapText="1"/>
    </xf>
    <xf numFmtId="0" fontId="9" fillId="0" borderId="11" xfId="0" applyFont="1" applyFill="1" applyBorder="1" applyAlignment="1" applyProtection="1">
      <alignment horizontal="center" vertical="center" wrapText="1"/>
      <protection locked="0"/>
    </xf>
    <xf numFmtId="0" fontId="4" fillId="4" borderId="12" xfId="0" applyFont="1" applyFill="1" applyBorder="1"/>
    <xf numFmtId="0" fontId="0" fillId="0" borderId="1" xfId="0" applyBorder="1"/>
    <xf numFmtId="164" fontId="0" fillId="0" borderId="7" xfId="0" applyNumberFormat="1" applyBorder="1"/>
    <xf numFmtId="0" fontId="9" fillId="3" borderId="4" xfId="0" applyFont="1" applyFill="1" applyBorder="1" applyAlignment="1">
      <alignment horizontal="center" vertical="center"/>
    </xf>
    <xf numFmtId="0" fontId="9" fillId="0" borderId="13" xfId="0" applyFont="1" applyFill="1" applyBorder="1" applyAlignment="1" applyProtection="1">
      <alignment horizontal="center" vertical="center" wrapText="1"/>
      <protection locked="0"/>
    </xf>
    <xf numFmtId="0" fontId="9" fillId="0" borderId="14" xfId="0" applyFont="1" applyFill="1" applyBorder="1" applyAlignment="1" applyProtection="1">
      <alignment horizontal="center" vertical="center" wrapText="1"/>
      <protection locked="0"/>
    </xf>
    <xf numFmtId="0" fontId="9" fillId="0" borderId="15" xfId="0" applyFont="1" applyFill="1" applyBorder="1" applyAlignment="1" applyProtection="1">
      <alignment horizontal="center" vertical="center" wrapText="1"/>
      <protection locked="0"/>
    </xf>
    <xf numFmtId="0" fontId="9" fillId="3" borderId="11" xfId="0" applyFont="1" applyFill="1" applyBorder="1" applyAlignment="1">
      <alignment horizontal="center" vertical="center"/>
    </xf>
    <xf numFmtId="0" fontId="9" fillId="0" borderId="11" xfId="0" applyFont="1" applyBorder="1" applyAlignment="1" applyProtection="1">
      <alignment horizontal="center" vertical="center"/>
      <protection locked="0"/>
    </xf>
    <xf numFmtId="0" fontId="9" fillId="0" borderId="11" xfId="0" applyFont="1" applyBorder="1"/>
    <xf numFmtId="0" fontId="6" fillId="2" borderId="4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textRotation="90" wrapText="1"/>
    </xf>
    <xf numFmtId="0" fontId="2" fillId="2" borderId="8" xfId="0" applyFont="1" applyFill="1" applyBorder="1" applyAlignment="1">
      <alignment horizontal="center" vertical="center" textRotation="90" wrapText="1"/>
    </xf>
    <xf numFmtId="0" fontId="2" fillId="2" borderId="6" xfId="0" applyFont="1" applyFill="1" applyBorder="1" applyAlignment="1">
      <alignment horizontal="center" vertical="center" textRotation="90" wrapText="1"/>
    </xf>
    <xf numFmtId="0" fontId="2" fillId="2" borderId="9" xfId="0" applyFont="1" applyFill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9" fillId="3" borderId="16" xfId="0" applyFont="1" applyFill="1" applyBorder="1" applyAlignment="1">
      <alignment horizontal="center" vertical="center"/>
    </xf>
    <xf numFmtId="0" fontId="9" fillId="0" borderId="16" xfId="0" applyFont="1" applyFill="1" applyBorder="1" applyAlignment="1" applyProtection="1">
      <alignment horizontal="center" vertical="center" wrapText="1"/>
      <protection locked="0"/>
    </xf>
    <xf numFmtId="0" fontId="9" fillId="0" borderId="16" xfId="0" applyFont="1" applyBorder="1" applyAlignment="1" applyProtection="1">
      <alignment horizontal="center" vertical="center"/>
      <protection locked="0"/>
    </xf>
    <xf numFmtId="0" fontId="9" fillId="0" borderId="16" xfId="0" applyFont="1" applyBorder="1"/>
  </cellXfs>
  <cellStyles count="2">
    <cellStyle name="Обычный" xfId="0" builtinId="0"/>
    <cellStyle name="Обычный 2" xfId="1"/>
  </cellStyles>
  <dxfs count="8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9" tint="0.79995117038483843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solid">
          <fgColor indexed="64"/>
          <bgColor theme="9" tint="0.79995117038483843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medium">
          <color indexed="64"/>
        </top>
        <vertical/>
        <horizontal/>
      </border>
    </dxf>
    <dxf>
      <font>
        <strike val="0"/>
        <outline val="0"/>
        <shadow val="0"/>
        <u val="none"/>
        <vertAlign val="baseline"/>
        <sz val="11"/>
        <color auto="1"/>
      </font>
    </dxf>
    <dxf>
      <border outline="0"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</font>
    </dxf>
    <dxf>
      <border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Times New Roman"/>
        <scheme val="none"/>
      </font>
      <fill>
        <patternFill patternType="solid">
          <fgColor indexed="64"/>
          <bgColor theme="9" tint="0.79998168889431442"/>
        </patternFill>
      </fill>
      <alignment horizontal="left" vertical="center" textRotation="0" wrapText="1" indent="0" relativeIndent="255" justifyLastLine="0" shrinkToFit="0" mergeCell="0" readingOrder="0"/>
      <border diagonalUp="0" diagonalDown="0">
        <left/>
        <right/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2" name="tbl" displayName="tbl" ref="A4:AM8" totalsRowCount="1" headerRowDxfId="83" dataDxfId="81" totalsRowDxfId="79" headerRowBorderDxfId="82" tableBorderDxfId="80" totalsRowBorderDxfId="78">
  <autoFilter ref="A4:AM7"/>
  <tableColumns count="39">
    <tableColumn id="1" name=" " totalsRowLabel="Итог" dataDxfId="77" totalsRowDxfId="38"/>
    <tableColumn id="2" name="2" totalsRowFunction="sum" dataDxfId="76" totalsRowDxfId="37"/>
    <tableColumn id="3" name="3" totalsRowFunction="sum" dataDxfId="75" totalsRowDxfId="36"/>
    <tableColumn id="4" name="4" totalsRowFunction="sum" dataDxfId="74" totalsRowDxfId="35"/>
    <tableColumn id="5" name="5" totalsRowFunction="sum" dataDxfId="73" totalsRowDxfId="34"/>
    <tableColumn id="6" name="6" totalsRowFunction="sum" dataDxfId="72" totalsRowDxfId="33"/>
    <tableColumn id="7" name="7" totalsRowFunction="sum" dataDxfId="71" totalsRowDxfId="32"/>
    <tableColumn id="8" name="8" totalsRowFunction="sum" dataDxfId="70" totalsRowDxfId="31"/>
    <tableColumn id="9" name="9" totalsRowFunction="sum" dataDxfId="69" totalsRowDxfId="30"/>
    <tableColumn id="10" name="10" totalsRowFunction="sum" dataDxfId="68" totalsRowDxfId="29"/>
    <tableColumn id="11" name="11" totalsRowFunction="sum" dataDxfId="67" totalsRowDxfId="28"/>
    <tableColumn id="12" name="12" totalsRowFunction="sum" dataDxfId="66" totalsRowDxfId="27"/>
    <tableColumn id="13" name="13" totalsRowFunction="sum" dataDxfId="65" totalsRowDxfId="26"/>
    <tableColumn id="14" name="14" totalsRowFunction="sum" dataDxfId="64" totalsRowDxfId="25"/>
    <tableColumn id="15" name="15" totalsRowFunction="sum" dataDxfId="63" totalsRowDxfId="24"/>
    <tableColumn id="16" name="16" totalsRowFunction="sum" dataDxfId="62" totalsRowDxfId="23"/>
    <tableColumn id="17" name="17" totalsRowFunction="sum" dataDxfId="61" totalsRowDxfId="22"/>
    <tableColumn id="18" name="18" totalsRowFunction="sum" dataDxfId="60" totalsRowDxfId="21"/>
    <tableColumn id="19" name="19" totalsRowFunction="sum" dataDxfId="59" totalsRowDxfId="20"/>
    <tableColumn id="20" name="20" totalsRowFunction="sum" dataDxfId="58" totalsRowDxfId="19"/>
    <tableColumn id="21" name="21" totalsRowFunction="sum" dataDxfId="57" totalsRowDxfId="18"/>
    <tableColumn id="22" name="22" totalsRowFunction="sum" dataDxfId="56" totalsRowDxfId="17"/>
    <tableColumn id="23" name="23" totalsRowFunction="sum" dataDxfId="55" totalsRowDxfId="16"/>
    <tableColumn id="24" name="24" totalsRowFunction="sum" dataDxfId="54" totalsRowDxfId="15"/>
    <tableColumn id="25" name="25" totalsRowFunction="sum" dataDxfId="53" totalsRowDxfId="14"/>
    <tableColumn id="26" name="26" totalsRowFunction="sum" dataDxfId="52" totalsRowDxfId="13"/>
    <tableColumn id="27" name="27" totalsRowFunction="sum" dataDxfId="51" totalsRowDxfId="12"/>
    <tableColumn id="28" name="28" totalsRowFunction="sum" dataDxfId="50" totalsRowDxfId="11"/>
    <tableColumn id="29" name="29" totalsRowFunction="sum" dataDxfId="49" totalsRowDxfId="10"/>
    <tableColumn id="30" name="30" totalsRowFunction="sum" dataDxfId="48" totalsRowDxfId="9"/>
    <tableColumn id="31" name="31" totalsRowFunction="sum" dataDxfId="47" totalsRowDxfId="8"/>
    <tableColumn id="32" name="32" totalsRowFunction="sum" dataDxfId="46" totalsRowDxfId="7"/>
    <tableColumn id="33" name="33" totalsRowFunction="sum" dataDxfId="45" totalsRowDxfId="6"/>
    <tableColumn id="34" name="34" totalsRowFunction="sum" dataDxfId="44" totalsRowDxfId="5"/>
    <tableColumn id="35" name="35" totalsRowFunction="sum" dataDxfId="43" totalsRowDxfId="4"/>
    <tableColumn id="36" name="36" totalsRowFunction="sum" dataDxfId="42" totalsRowDxfId="3"/>
    <tableColumn id="37" name="37" totalsRowFunction="sum" dataDxfId="41" totalsRowDxfId="2"/>
    <tableColumn id="38" name="38" totalsRowFunction="sum" dataDxfId="40" totalsRowDxfId="1">
      <calculatedColumnFormula>(IF(C5=0,,D5/C5)+IF(B5=0,,D5/B5)+IF((G5+H5)=0,,D5/(G5+H5)))/3/100</calculatedColumnFormula>
    </tableColumn>
    <tableColumn id="39" name="39" totalsRowFunction="sum" dataDxfId="39" totalsRowDxfId="0">
      <calculatedColumnFormula>(IF(C5=0,,E5/C5)+IF(B5=0,,E5/B5))/2/100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>
    <pageSetUpPr fitToPage="1"/>
  </sheetPr>
  <dimension ref="A1:AM9"/>
  <sheetViews>
    <sheetView tabSelected="1" zoomScale="80" zoomScaleNormal="80" workbookViewId="0">
      <selection activeCell="E5" sqref="E5"/>
    </sheetView>
  </sheetViews>
  <sheetFormatPr defaultRowHeight="15"/>
  <cols>
    <col min="1" max="1" width="27.42578125" customWidth="1"/>
    <col min="2" max="29" width="6.5703125" customWidth="1"/>
    <col min="31" max="33" width="7" customWidth="1"/>
  </cols>
  <sheetData>
    <row r="1" spans="1:39" ht="33.75" thickBot="1">
      <c r="A1" s="26" t="s">
        <v>41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</row>
    <row r="2" spans="1:39" ht="15.75" customHeight="1" thickBot="1">
      <c r="A2" s="27"/>
      <c r="B2" s="22" t="s">
        <v>0</v>
      </c>
      <c r="C2" s="22" t="s">
        <v>1</v>
      </c>
      <c r="D2" s="22" t="s">
        <v>2</v>
      </c>
      <c r="E2" s="22" t="s">
        <v>3</v>
      </c>
      <c r="F2" s="22" t="s">
        <v>30</v>
      </c>
      <c r="G2" s="22" t="s">
        <v>31</v>
      </c>
      <c r="H2" s="22" t="s">
        <v>32</v>
      </c>
      <c r="I2" s="22" t="s">
        <v>33</v>
      </c>
      <c r="J2" s="22" t="s">
        <v>34</v>
      </c>
      <c r="K2" s="22" t="s">
        <v>35</v>
      </c>
      <c r="L2" s="22" t="s">
        <v>36</v>
      </c>
      <c r="M2" s="22" t="s">
        <v>37</v>
      </c>
      <c r="N2" s="19" t="s">
        <v>4</v>
      </c>
      <c r="O2" s="19"/>
      <c r="P2" s="19"/>
      <c r="Q2" s="19"/>
      <c r="R2" s="20" t="s">
        <v>5</v>
      </c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21"/>
      <c r="AL2" s="22" t="s">
        <v>38</v>
      </c>
      <c r="AM2" s="24" t="s">
        <v>39</v>
      </c>
    </row>
    <row r="3" spans="1:39" ht="159" thickBot="1">
      <c r="A3" s="28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1" t="s">
        <v>6</v>
      </c>
      <c r="O3" s="1" t="s">
        <v>7</v>
      </c>
      <c r="P3" s="1" t="s">
        <v>8</v>
      </c>
      <c r="Q3" s="2" t="s">
        <v>9</v>
      </c>
      <c r="R3" s="3" t="s">
        <v>10</v>
      </c>
      <c r="S3" s="4" t="s">
        <v>11</v>
      </c>
      <c r="T3" s="4" t="s">
        <v>12</v>
      </c>
      <c r="U3" s="4" t="s">
        <v>13</v>
      </c>
      <c r="V3" s="4" t="s">
        <v>14</v>
      </c>
      <c r="W3" s="4" t="s">
        <v>15</v>
      </c>
      <c r="X3" s="4" t="s">
        <v>16</v>
      </c>
      <c r="Y3" s="4" t="s">
        <v>17</v>
      </c>
      <c r="Z3" s="4" t="s">
        <v>18</v>
      </c>
      <c r="AA3" s="4" t="s">
        <v>19</v>
      </c>
      <c r="AB3" s="4" t="s">
        <v>20</v>
      </c>
      <c r="AC3" s="4" t="s">
        <v>21</v>
      </c>
      <c r="AD3" s="4" t="s">
        <v>22</v>
      </c>
      <c r="AE3" s="4" t="s">
        <v>23</v>
      </c>
      <c r="AF3" s="4" t="s">
        <v>24</v>
      </c>
      <c r="AG3" s="4" t="s">
        <v>25</v>
      </c>
      <c r="AH3" s="4" t="s">
        <v>26</v>
      </c>
      <c r="AI3" s="4" t="s">
        <v>27</v>
      </c>
      <c r="AJ3" s="4" t="s">
        <v>28</v>
      </c>
      <c r="AK3" s="4" t="s">
        <v>29</v>
      </c>
      <c r="AL3" s="23"/>
      <c r="AM3" s="25"/>
    </row>
    <row r="4" spans="1:39" ht="16.5" thickBot="1">
      <c r="A4" s="18" t="s">
        <v>80</v>
      </c>
      <c r="B4" s="6" t="s">
        <v>42</v>
      </c>
      <c r="C4" s="6" t="s">
        <v>43</v>
      </c>
      <c r="D4" s="6" t="s">
        <v>44</v>
      </c>
      <c r="E4" s="6" t="s">
        <v>45</v>
      </c>
      <c r="F4" s="6" t="s">
        <v>46</v>
      </c>
      <c r="G4" s="6" t="s">
        <v>47</v>
      </c>
      <c r="H4" s="6" t="s">
        <v>48</v>
      </c>
      <c r="I4" s="6" t="s">
        <v>49</v>
      </c>
      <c r="J4" s="6" t="s">
        <v>50</v>
      </c>
      <c r="K4" s="6" t="s">
        <v>51</v>
      </c>
      <c r="L4" s="6" t="s">
        <v>52</v>
      </c>
      <c r="M4" s="6" t="s">
        <v>53</v>
      </c>
      <c r="N4" s="6" t="s">
        <v>54</v>
      </c>
      <c r="O4" s="6" t="s">
        <v>55</v>
      </c>
      <c r="P4" s="6" t="s">
        <v>56</v>
      </c>
      <c r="Q4" s="6" t="s">
        <v>57</v>
      </c>
      <c r="R4" s="6" t="s">
        <v>58</v>
      </c>
      <c r="S4" s="6" t="s">
        <v>59</v>
      </c>
      <c r="T4" s="6" t="s">
        <v>60</v>
      </c>
      <c r="U4" s="6" t="s">
        <v>61</v>
      </c>
      <c r="V4" s="6" t="s">
        <v>62</v>
      </c>
      <c r="W4" s="6" t="s">
        <v>63</v>
      </c>
      <c r="X4" s="6" t="s">
        <v>64</v>
      </c>
      <c r="Y4" s="6" t="s">
        <v>65</v>
      </c>
      <c r="Z4" s="6" t="s">
        <v>66</v>
      </c>
      <c r="AA4" s="6" t="s">
        <v>67</v>
      </c>
      <c r="AB4" s="6" t="s">
        <v>68</v>
      </c>
      <c r="AC4" s="6" t="s">
        <v>69</v>
      </c>
      <c r="AD4" s="6" t="s">
        <v>70</v>
      </c>
      <c r="AE4" s="6" t="s">
        <v>71</v>
      </c>
      <c r="AF4" s="6" t="s">
        <v>72</v>
      </c>
      <c r="AG4" s="6" t="s">
        <v>73</v>
      </c>
      <c r="AH4" s="6" t="s">
        <v>74</v>
      </c>
      <c r="AI4" s="6" t="s">
        <v>75</v>
      </c>
      <c r="AJ4" s="6" t="s">
        <v>76</v>
      </c>
      <c r="AK4" s="6" t="s">
        <v>77</v>
      </c>
      <c r="AL4" s="6" t="s">
        <v>78</v>
      </c>
      <c r="AM4" s="6" t="s">
        <v>79</v>
      </c>
    </row>
    <row r="5" spans="1:39" s="5" customFormat="1">
      <c r="A5" s="15" t="s">
        <v>82</v>
      </c>
      <c r="B5" s="7"/>
      <c r="C5" s="7"/>
      <c r="D5" s="7"/>
      <c r="E5" s="7"/>
      <c r="F5" s="7"/>
      <c r="G5" s="7"/>
      <c r="H5" s="7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7">
        <f t="shared" ref="AL5" si="0">(IF(C5=0,,D5/C5)+IF(B5=0,,D5/B5)+IF((G5+H5)=0,,D5/(G5+H5)))/3/100</f>
        <v>0</v>
      </c>
      <c r="AM5" s="17">
        <f t="shared" ref="AM5" si="1">(IF(C5=0,,E5/C5)+IF(B5=0,,E5/B5))/2/100</f>
        <v>0</v>
      </c>
    </row>
    <row r="6" spans="1:39" s="5" customFormat="1">
      <c r="A6" s="29" t="s">
        <v>83</v>
      </c>
      <c r="B6" s="30"/>
      <c r="C6" s="30"/>
      <c r="D6" s="30"/>
      <c r="E6" s="30"/>
      <c r="F6" s="30"/>
      <c r="G6" s="30"/>
      <c r="H6" s="30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2">
        <f>(IF(C6=0,,D6/C6)+IF(B6=0,,D6/B6)+IF((G6+H6)=0,,D6/(G6+H6)))/3/100</f>
        <v>0</v>
      </c>
      <c r="AM6" s="32">
        <f>(IF(C6=0,,E6/C6)+IF(B6=0,,E6/B6))/2/100</f>
        <v>0</v>
      </c>
    </row>
    <row r="7" spans="1:39" ht="15.75" thickBot="1">
      <c r="A7" s="29" t="s">
        <v>84</v>
      </c>
      <c r="B7" s="30"/>
      <c r="C7" s="30"/>
      <c r="D7" s="30"/>
      <c r="E7" s="30"/>
      <c r="F7" s="30"/>
      <c r="G7" s="30"/>
      <c r="H7" s="30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2">
        <f>(IF(C7=0,,D7/C7)+IF(B7=0,,D7/B7)+IF((G7+H7)=0,,D7/(G7+H7)))/3/100</f>
        <v>0</v>
      </c>
      <c r="AM7" s="32">
        <f>(IF(C7=0,,E7/C7)+IF(B7=0,,E7/B7))/2/100</f>
        <v>0</v>
      </c>
    </row>
    <row r="8" spans="1:39" ht="15.75" thickBot="1">
      <c r="A8" s="11" t="s">
        <v>81</v>
      </c>
      <c r="B8" s="12">
        <f>SUBTOTAL(109,[2])</f>
        <v>0</v>
      </c>
      <c r="C8" s="13">
        <f>SUBTOTAL(109,[3])</f>
        <v>0</v>
      </c>
      <c r="D8" s="13">
        <f>SUBTOTAL(109,[4])</f>
        <v>0</v>
      </c>
      <c r="E8" s="13">
        <f>SUBTOTAL(109,[5])</f>
        <v>0</v>
      </c>
      <c r="F8" s="13">
        <f>SUBTOTAL(109,[6])</f>
        <v>0</v>
      </c>
      <c r="G8" s="13">
        <f>SUBTOTAL(109,[7])</f>
        <v>0</v>
      </c>
      <c r="H8" s="13">
        <f>SUBTOTAL(109,[8])</f>
        <v>0</v>
      </c>
      <c r="I8" s="13">
        <f>SUBTOTAL(109,[9])</f>
        <v>0</v>
      </c>
      <c r="J8" s="13">
        <f>SUBTOTAL(109,[10])</f>
        <v>0</v>
      </c>
      <c r="K8" s="13">
        <f>SUBTOTAL(109,[11])</f>
        <v>0</v>
      </c>
      <c r="L8" s="13">
        <f>SUBTOTAL(109,[12])</f>
        <v>0</v>
      </c>
      <c r="M8" s="13">
        <f>SUBTOTAL(109,[13])</f>
        <v>0</v>
      </c>
      <c r="N8" s="13">
        <f>SUBTOTAL(109,[14])</f>
        <v>0</v>
      </c>
      <c r="O8" s="13">
        <f>SUBTOTAL(109,[15])</f>
        <v>0</v>
      </c>
      <c r="P8" s="13">
        <f>SUBTOTAL(109,[16])</f>
        <v>0</v>
      </c>
      <c r="Q8" s="13">
        <f>SUBTOTAL(109,[17])</f>
        <v>0</v>
      </c>
      <c r="R8" s="13">
        <f>SUBTOTAL(109,[18])</f>
        <v>0</v>
      </c>
      <c r="S8" s="13">
        <f>SUBTOTAL(109,[19])</f>
        <v>0</v>
      </c>
      <c r="T8" s="13">
        <f>SUBTOTAL(109,[20])</f>
        <v>0</v>
      </c>
      <c r="U8" s="13">
        <f>SUBTOTAL(109,[21])</f>
        <v>0</v>
      </c>
      <c r="V8" s="13">
        <f>SUBTOTAL(109,[22])</f>
        <v>0</v>
      </c>
      <c r="W8" s="13">
        <f>SUBTOTAL(109,[23])</f>
        <v>0</v>
      </c>
      <c r="X8" s="13">
        <f>SUBTOTAL(109,[24])</f>
        <v>0</v>
      </c>
      <c r="Y8" s="13">
        <f>SUBTOTAL(109,[25])</f>
        <v>0</v>
      </c>
      <c r="Z8" s="13">
        <f>SUBTOTAL(109,[26])</f>
        <v>0</v>
      </c>
      <c r="AA8" s="13">
        <f>SUBTOTAL(109,[27])</f>
        <v>0</v>
      </c>
      <c r="AB8" s="13">
        <f>SUBTOTAL(109,[28])</f>
        <v>0</v>
      </c>
      <c r="AC8" s="13">
        <f>SUBTOTAL(109,[29])</f>
        <v>0</v>
      </c>
      <c r="AD8" s="13">
        <f>SUBTOTAL(109,[30])</f>
        <v>0</v>
      </c>
      <c r="AE8" s="13">
        <f>SUBTOTAL(109,[31])</f>
        <v>0</v>
      </c>
      <c r="AF8" s="13">
        <f>SUBTOTAL(109,[32])</f>
        <v>0</v>
      </c>
      <c r="AG8" s="13">
        <f>SUBTOTAL(109,[33])</f>
        <v>0</v>
      </c>
      <c r="AH8" s="13">
        <f>SUBTOTAL(109,[34])</f>
        <v>0</v>
      </c>
      <c r="AI8" s="13">
        <f>SUBTOTAL(109,[35])</f>
        <v>0</v>
      </c>
      <c r="AJ8" s="13">
        <f>SUBTOTAL(109,[36])</f>
        <v>0</v>
      </c>
      <c r="AK8" s="13">
        <f>SUBTOTAL(109,[37])</f>
        <v>0</v>
      </c>
      <c r="AL8" s="13">
        <f>SUBTOTAL(109,[38])</f>
        <v>0</v>
      </c>
      <c r="AM8" s="14">
        <f>SUBTOTAL(109,[39])</f>
        <v>0</v>
      </c>
    </row>
    <row r="9" spans="1:39" ht="15.75" thickBot="1">
      <c r="AF9" s="8" t="s">
        <v>40</v>
      </c>
      <c r="AG9" s="9"/>
      <c r="AH9" s="9"/>
      <c r="AI9" s="9"/>
      <c r="AJ9" s="9"/>
      <c r="AK9" s="9"/>
      <c r="AL9" s="9"/>
      <c r="AM9" s="10">
        <f>(AL5+AL6+AL7+AM5+AM6+AM7)/6</f>
        <v>0</v>
      </c>
    </row>
  </sheetData>
  <mergeCells count="18">
    <mergeCell ref="L2:L3"/>
    <mergeCell ref="M2:M3"/>
    <mergeCell ref="N2:Q2"/>
    <mergeCell ref="R2:AK2"/>
    <mergeCell ref="AL2:AL3"/>
    <mergeCell ref="AM2:AM3"/>
    <mergeCell ref="A1:AM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printOptions horizontalCentered="1"/>
  <pageMargins left="0.11811023622047245" right="0.11811023622047245" top="0.74803149606299213" bottom="0.74803149606299213" header="0.31496062992125984" footer="0.31496062992125984"/>
  <pageSetup paperSize="9" scale="73" fitToHeight="0" orientation="landscape" horizontalDpi="300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Итог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</dc:creator>
  <cp:lastModifiedBy>q</cp:lastModifiedBy>
  <cp:lastPrinted>2021-07-12T08:57:04Z</cp:lastPrinted>
  <dcterms:created xsi:type="dcterms:W3CDTF">2017-04-03T05:19:48Z</dcterms:created>
  <dcterms:modified xsi:type="dcterms:W3CDTF">2022-01-12T05:06:43Z</dcterms:modified>
</cp:coreProperties>
</file>