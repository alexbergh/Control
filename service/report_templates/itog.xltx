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0" yWindow="45" windowWidth="28755" windowHeight="14625"/>
  </bookViews>
  <sheets>
    <sheet name="Итог" sheetId="1" r:id="rId1"/>
  </sheets>
  <calcPr calcId="125725"/>
</workbook>
</file>

<file path=xl/calcChain.xml><?xml version="1.0" encoding="utf-8"?>
<calcChain xmlns="http://schemas.openxmlformats.org/spreadsheetml/2006/main">
  <c r="C5" i="1"/>
  <c r="D5"/>
  <c r="E5"/>
  <c r="F5"/>
  <c r="G5"/>
  <c r="H5"/>
  <c r="I5"/>
  <c r="J5"/>
  <c r="K5"/>
  <c r="L5"/>
  <c r="M5"/>
  <c r="N5"/>
  <c r="O5"/>
  <c r="P5"/>
  <c r="B5"/>
</calcChain>
</file>

<file path=xl/sharedStrings.xml><?xml version="1.0" encoding="utf-8"?>
<sst xmlns="http://schemas.openxmlformats.org/spreadsheetml/2006/main" count="36" uniqueCount="26">
  <si>
    <t>Цех</t>
  </si>
  <si>
    <t>Проверки</t>
  </si>
  <si>
    <t>Замечания</t>
  </si>
  <si>
    <t>Устраненные</t>
  </si>
  <si>
    <t>Активные</t>
  </si>
  <si>
    <t>Просроченные</t>
  </si>
  <si>
    <t>1 ступень</t>
  </si>
  <si>
    <t>2 ступень</t>
  </si>
  <si>
    <t>3 ступень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</si>
  <si>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</si>
  <si>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</si>
  <si>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</si>
  <si>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</si>
  <si>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</si>
  <si>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</si>
  <si>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</si>
  <si>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</si>
  <si>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</si>
  <si>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</si>
  <si>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</si>
  <si>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</si>
  <si>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</si>
  <si>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</si>
  <si>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</si>
  <si>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</si>
  <si>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Итог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</si>
</sst>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/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37">
    <dxf>
      <alignment horizontal="center" vertical="center" textRotation="0" wrapText="0" indent="0" relativeIndent="255" justifyLastLine="0" shrinkToFit="0" mergeCell="0" readingOrder="0"/>
      <border diagonalUp="0" diagonalDown="0">
        <left style="medium">
          <color auto="1"/>
        </left>
        <right style="medium">
          <color auto="1"/>
        </right>
        <top/>
        <bottom/>
      </border>
    </dxf>
    <dxf>
      <border>
        <bottom style="medium">
          <color indexed="64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medium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medium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medium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medium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medium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medium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>
        <top style="medium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tbl" displayName="tbl" ref="A3:P5" totalsRowCount="1" headerRowDxfId="0" totalsRowDxfId="34" headerRowBorderDxfId="1" tableBorderDxfId="36" totalsRowBorderDxfId="35">
  <autoFilter ref="A3:P4"/>
  <tableColumns count="16">
    <tableColumn id="1" name="1" totalsRowLabel="Итог" dataDxfId="33" totalsRowDxfId="32"/>
    <tableColumn id="2" name="2" totalsRowFunction="sum" dataDxfId="31" totalsRowDxfId="30"/>
    <tableColumn id="3" name="3" totalsRowFunction="sum" dataDxfId="29" totalsRowDxfId="28"/>
    <tableColumn id="4" name="4" totalsRowFunction="sum" dataDxfId="27" totalsRowDxfId="26"/>
    <tableColumn id="5" name="5" totalsRowFunction="sum" dataDxfId="25" totalsRowDxfId="24"/>
    <tableColumn id="6" name="6" totalsRowFunction="sum" dataDxfId="23" totalsRowDxfId="22"/>
    <tableColumn id="7" name="7" totalsRowFunction="sum" dataDxfId="21" totalsRowDxfId="20"/>
    <tableColumn id="8" name="8" totalsRowFunction="sum" dataDxfId="19" totalsRowDxfId="18"/>
    <tableColumn id="9" name="9" totalsRowFunction="sum" dataDxfId="17" totalsRowDxfId="16"/>
    <tableColumn id="10" name="10" totalsRowFunction="sum" dataDxfId="15" totalsRowDxfId="14"/>
    <tableColumn id="11" name="11" totalsRowFunction="sum" dataDxfId="13" totalsRowDxfId="12"/>
    <tableColumn id="12" name="12" totalsRowFunction="sum" dataDxfId="11" totalsRowDxfId="10"/>
    <tableColumn id="13" name="13" totalsRowFunction="sum" dataDxfId="9" totalsRowDxfId="8"/>
    <tableColumn id="14" name="14" totalsRowFunction="sum" dataDxfId="7" totalsRowDxfId="6"/>
    <tableColumn id="15" name="15" totalsRowFunction="sum" dataDxfId="5" totalsRowDxfId="4"/>
    <tableColumn id="16" name="16" totalsRowFunction="sum" dataDxfId="3" totalsRow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P5"/>
  <sheetViews>
    <sheetView tabSelected="1" workbookViewId="0">
      <selection activeCell="A4" sqref="A4"/>
    </sheetView>
  </sheetViews>
  <sheetFormatPr defaultRowHeight="15"/>
  <cols>
    <col min="1" max="1" width="10.28515625" customWidth="1"/>
    <col min="2" max="16" width="14.5703125" customWidth="1"/>
  </cols>
  <sheetData>
    <row r="1" spans="1:16">
      <c r="A1" s="4" t="s">
        <v>0</v>
      </c>
      <c r="B1" s="5" t="s">
        <v>6</v>
      </c>
      <c r="C1" s="6"/>
      <c r="D1" s="6"/>
      <c r="E1" s="6"/>
      <c r="F1" s="7"/>
      <c r="G1" s="5" t="s">
        <v>7</v>
      </c>
      <c r="H1" s="6"/>
      <c r="I1" s="6"/>
      <c r="J1" s="6"/>
      <c r="K1" s="7"/>
      <c r="L1" s="5" t="s">
        <v>8</v>
      </c>
      <c r="M1" s="6"/>
      <c r="N1" s="6"/>
      <c r="O1" s="6"/>
      <c r="P1" s="7"/>
    </row>
    <row r="2" spans="1:16" ht="15.75" thickBot="1">
      <c r="A2" s="8"/>
      <c r="B2" s="9" t="s">
        <v>1</v>
      </c>
      <c r="C2" s="10" t="s">
        <v>2</v>
      </c>
      <c r="D2" s="10" t="s">
        <v>3</v>
      </c>
      <c r="E2" s="10" t="s">
        <v>4</v>
      </c>
      <c r="F2" s="11" t="s">
        <v>5</v>
      </c>
      <c r="G2" s="9" t="s">
        <v>1</v>
      </c>
      <c r="H2" s="10" t="s">
        <v>2</v>
      </c>
      <c r="I2" s="10" t="s">
        <v>3</v>
      </c>
      <c r="J2" s="10" t="s">
        <v>4</v>
      </c>
      <c r="K2" s="11" t="s">
        <v>5</v>
      </c>
      <c r="L2" s="9" t="s">
        <v>1</v>
      </c>
      <c r="M2" s="10" t="s">
        <v>2</v>
      </c>
      <c r="N2" s="10" t="s">
        <v>3</v>
      </c>
      <c r="O2" s="10" t="s">
        <v>4</v>
      </c>
      <c r="P2" s="11" t="s">
        <v>5</v>
      </c>
    </row>
    <row r="3" spans="1:16" ht="15.75" thickBot="1">
      <c r="A3" s="16" t="s">
        <v>9</v>
      </c>
      <c r="B3" s="12" t="s">
        <v>10</v>
      </c>
      <c r="C3" s="13" t="s">
        <v>11</v>
      </c>
      <c r="D3" s="13" t="s">
        <v>12</v>
      </c>
      <c r="E3" s="13" t="s">
        <v>13</v>
      </c>
      <c r="F3" s="14" t="s">
        <v>14</v>
      </c>
      <c r="G3" s="12" t="s">
        <v>15</v>
      </c>
      <c r="H3" s="13" t="s">
        <v>16</v>
      </c>
      <c r="I3" s="13" t="s">
        <v>17</v>
      </c>
      <c r="J3" s="13" t="s">
        <v>18</v>
      </c>
      <c r="K3" s="14" t="s">
        <v>19</v>
      </c>
      <c r="L3" s="12" t="s">
        <v>20</v>
      </c>
      <c r="M3" s="13" t="s">
        <v>21</v>
      </c>
      <c r="N3" s="13" t="s">
        <v>22</v>
      </c>
      <c r="O3" s="13" t="s">
        <v>23</v>
      </c>
      <c r="P3" s="14" t="s">
        <v>24</v>
      </c>
    </row>
    <row r="4" spans="1:16" ht="15.75" thickBot="1">
      <c r="A4" s="15"/>
      <c r="B4" s="1"/>
      <c r="C4" s="2"/>
      <c r="D4" s="2"/>
      <c r="E4" s="2"/>
      <c r="F4" s="3"/>
      <c r="G4" s="1"/>
      <c r="H4" s="2"/>
      <c r="I4" s="2"/>
      <c r="J4" s="2"/>
      <c r="K4" s="3"/>
      <c r="L4" s="1"/>
      <c r="M4" s="2"/>
      <c r="N4" s="2"/>
      <c r="O4" s="2"/>
      <c r="P4" s="3"/>
    </row>
    <row r="5" spans="1:16" ht="15.75" thickBot="1">
      <c r="A5" s="16" t="s">
        <v>25</v>
      </c>
      <c r="B5" s="12">
        <f>SUBTOTAL(109,[2])</f>
        <v>0</v>
      </c>
      <c r="C5" s="13">
        <f>SUBTOTAL(109,[3])</f>
        <v>0</v>
      </c>
      <c r="D5" s="13">
        <f>SUBTOTAL(109,[4])</f>
        <v>0</v>
      </c>
      <c r="E5" s="13">
        <f>SUBTOTAL(109,[5])</f>
        <v>0</v>
      </c>
      <c r="F5" s="14">
        <f>SUBTOTAL(109,[6])</f>
        <v>0</v>
      </c>
      <c r="G5" s="12">
        <f>SUBTOTAL(109,[7])</f>
        <v>0</v>
      </c>
      <c r="H5" s="13">
        <f>SUBTOTAL(109,[8])</f>
        <v>0</v>
      </c>
      <c r="I5" s="13">
        <f>SUBTOTAL(109,[9])</f>
        <v>0</v>
      </c>
      <c r="J5" s="13">
        <f>SUBTOTAL(109,[10])</f>
        <v>0</v>
      </c>
      <c r="K5" s="14">
        <f>SUBTOTAL(109,[11])</f>
        <v>0</v>
      </c>
      <c r="L5" s="12">
        <f>SUBTOTAL(109,[12])</f>
        <v>0</v>
      </c>
      <c r="M5" s="13">
        <f>SUBTOTAL(109,[13])</f>
        <v>0</v>
      </c>
      <c r="N5" s="13">
        <f>SUBTOTAL(109,[14])</f>
        <v>0</v>
      </c>
      <c r="O5" s="13">
        <f>SUBTOTAL(109,[15])</f>
        <v>0</v>
      </c>
      <c r="P5" s="14">
        <f>SUBTOTAL(109,[16])</f>
        <v>0</v>
      </c>
    </row>
  </sheetData>
  <mergeCells count="4">
    <mergeCell ref="B1:F1"/>
    <mergeCell ref="G1:K1"/>
    <mergeCell ref="L1:P1"/>
    <mergeCell ref="A1:A2"/>
  </mergeCells>
  <pageMargins left="0.7" right="0.7" top="0.75" bottom="0.75" header="0.3" footer="0.3"/>
  <pageSetup paperSize="9" orientation="portrait" horizontalDpi="30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Итог</vt:lpstr>
    </vt:vector>
  </TitlesOfParts>
  <Company>Krokoz™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</dc:creator>
  <cp:lastModifiedBy>q</cp:lastModifiedBy>
  <dcterms:created xsi:type="dcterms:W3CDTF">2022-01-20T09:46:43Z</dcterms:created>
  <dcterms:modified xsi:type="dcterms:W3CDTF">2022-01-20T10:06:34Z</dcterms:modified>
</cp:coreProperties>
</file>