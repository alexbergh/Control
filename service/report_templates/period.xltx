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/>
  <workbookPr/>
  <bookViews>
    <workbookView xWindow="0" yWindow="0" windowWidth="28800" windowHeight="12435"/>
  </bookViews>
  <sheets>
    <sheet name="Итог" sheetId="75" r:id="rId1"/>
  </sheets>
  <definedNames>
    <definedName name="_xlnm.Print_Area" localSheetId="0">Итог!$A$1:$V$20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75"/>
  <c r="F7"/>
  <c r="G7"/>
  <c r="H7"/>
  <c r="I7"/>
  <c r="J7"/>
  <c r="K7"/>
  <c r="L7"/>
  <c r="M7"/>
  <c r="C7"/>
  <c r="D12" s="1"/>
  <c r="D7"/>
  <c r="B13"/>
  <c r="D13"/>
  <c r="N7"/>
  <c r="O7"/>
  <c r="P7"/>
  <c r="Q7"/>
  <c r="R7"/>
  <c r="S7"/>
  <c r="T7"/>
  <c r="U7"/>
  <c r="V7"/>
  <c r="B7"/>
  <c r="B12" s="1"/>
  <c r="D15" l="1"/>
  <c r="B14"/>
  <c r="D14"/>
  <c r="D11" s="1"/>
  <c r="B15"/>
  <c r="B11" l="1"/>
</calcChain>
</file>

<file path=xl/sharedStrings.xml><?xml version="1.0" encoding="utf-8"?>
<sst xmlns="http://schemas.openxmlformats.org/spreadsheetml/2006/main" count="60" uniqueCount="43">
  <si>
    <t>Цех</t>
  </si>
  <si>
    <t>1 ступень</t>
  </si>
  <si>
    <t>2 ступень</t>
  </si>
  <si>
    <t>3 ступень</t>
  </si>
  <si>
    <t>Особый период</t>
  </si>
  <si>
    <t>Информация о результатах проверок рабочих мест</t>
  </si>
  <si>
    <t>Всего проверок</t>
  </si>
  <si>
    <t>Выявлено</t>
  </si>
  <si>
    <t>Устранено</t>
  </si>
  <si>
    <t xml:space="preserve">I ступень 
</t>
  </si>
  <si>
    <t xml:space="preserve">II ступень 
</t>
  </si>
  <si>
    <t>III ступень</t>
  </si>
  <si>
    <t>Дежурство</t>
  </si>
  <si>
    <t>Комиссия</t>
  </si>
  <si>
    <t>ППРМ (особый период)</t>
  </si>
  <si>
    <t>Информация к селектору еженед.</t>
  </si>
  <si>
    <t>Всего проверено рабочих мест: 
из них:</t>
  </si>
  <si>
    <t>Всего нарушений: 
из них:</t>
  </si>
  <si>
    <t>С 01.01.2022 по 16.01.2022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</si>
  <si>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</si>
  <si>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</si>
  <si>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</si>
  <si>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</si>
  <si>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</si>
  <si>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</si>
  <si>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</si>
  <si>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</si>
  <si>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</si>
  <si>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</si>
  <si>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</si>
  <si>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</si>
  <si>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</si>
  <si>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</si>
  <si>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</si>
  <si>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</si>
  <si>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</si>
  <si>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</si>
  <si>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</si>
  <si>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Итог</t>
  </si>
  <si>
    <t>20</t>
  </si>
  <si>
    <t>21</t>
  </si>
  <si>
    <t>22</t>
  </si>
  <si>
    <t>Активно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</si>
</sst>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4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1" xfId="0" applyFont="1" applyBorder="1" applyAlignment="1">
      <alignment horizontal="justify" vertical="center" wrapText="1"/>
    </xf>
    <xf numFmtId="0" fontId="1" fillId="0" borderId="0" xfId="0" applyFont="1" applyFill="1" applyBorder="1" applyAlignment="1">
      <alignment vertical="top"/>
    </xf>
    <xf numFmtId="0" fontId="2" fillId="0" borderId="1" xfId="0" applyFont="1" applyBorder="1" applyAlignment="1">
      <alignment horizontal="justify" vertical="top" wrapText="1"/>
    </xf>
    <xf numFmtId="0" fontId="3" fillId="0" borderId="2" xfId="0" applyFont="1" applyBorder="1" applyAlignment="1">
      <alignment horizontal="justify" vertical="center" wrapText="1"/>
    </xf>
    <xf numFmtId="0" fontId="0" fillId="0" borderId="0" xfId="0" applyFill="1"/>
    <xf numFmtId="0" fontId="0" fillId="0" borderId="0" xfId="0" applyFill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/>
    <xf numFmtId="0" fontId="2" fillId="3" borderId="1" xfId="0" applyFont="1" applyFill="1" applyBorder="1" applyAlignment="1">
      <alignment horizontal="justify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justify" vertical="center" wrapText="1"/>
    </xf>
    <xf numFmtId="0" fontId="2" fillId="0" borderId="0" xfId="0" applyFont="1" applyBorder="1" applyAlignment="1">
      <alignment horizontal="justify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/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 vertical="top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relativeIndent="0" justifyLastLine="0" shrinkToFit="0" mergeCell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>
        <top style="medium">
          <color indexed="64"/>
        </top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1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border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bl" displayName="tbl" ref="A5:V7" totalsRowCount="1" headerRowDxfId="24" totalsRowDxfId="22" headerRowBorderDxfId="25" tableBorderDxfId="48" totalsRowBorderDxfId="23">
  <autoFilter ref="A5:V6">
    <filterColumn colId="4"/>
    <filterColumn colId="8"/>
    <filterColumn colId="12"/>
  </autoFilter>
  <tableColumns count="22">
    <tableColumn id="1" name="1" totalsRowLabel="Итог" dataDxfId="44" totalsRowDxfId="21"/>
    <tableColumn id="2" name="2" totalsRowFunction="sum" dataDxfId="43" totalsRowDxfId="20"/>
    <tableColumn id="3" name="3" totalsRowFunction="sum" dataDxfId="42" totalsRowDxfId="19"/>
    <tableColumn id="4" name="4" totalsRowFunction="sum" dataDxfId="41" totalsRowDxfId="18"/>
    <tableColumn id="22" name="5" totalsRowFunction="sum" dataDxfId="40" totalsRowDxfId="17"/>
    <tableColumn id="5" name="6" totalsRowFunction="sum" dataDxfId="39" totalsRowDxfId="16"/>
    <tableColumn id="6" name="7" totalsRowFunction="sum" dataDxfId="38" totalsRowDxfId="15"/>
    <tableColumn id="7" name="8" totalsRowFunction="sum" dataDxfId="37" totalsRowDxfId="14"/>
    <tableColumn id="23" name="9" totalsRowFunction="sum" dataDxfId="36" totalsRowDxfId="13"/>
    <tableColumn id="8" name="10" totalsRowFunction="sum" dataDxfId="35" totalsRowDxfId="12"/>
    <tableColumn id="9" name="11" totalsRowFunction="sum" dataDxfId="34" totalsRowDxfId="11"/>
    <tableColumn id="10" name="12" totalsRowFunction="sum" dataDxfId="33" totalsRowDxfId="10"/>
    <tableColumn id="24" name="13" totalsRowFunction="sum" dataDxfId="32" totalsRowDxfId="9"/>
    <tableColumn id="11" name="14" totalsRowFunction="sum" dataDxfId="31" totalsRowDxfId="8"/>
    <tableColumn id="12" name="15" totalsRowFunction="sum" dataDxfId="30" totalsRowDxfId="7"/>
    <tableColumn id="13" name="16" totalsRowFunction="sum" dataDxfId="29" totalsRowDxfId="6"/>
    <tableColumn id="14" name="17" totalsRowFunction="sum" dataDxfId="28" totalsRowDxfId="5"/>
    <tableColumn id="15" name="18" totalsRowFunction="sum" dataDxfId="27" totalsRowDxfId="4"/>
    <tableColumn id="16" name="19" totalsRowFunction="sum" dataDxfId="26" totalsRowDxfId="3"/>
    <tableColumn id="17" name="20" totalsRowFunction="sum" dataDxfId="47" totalsRowDxfId="2"/>
    <tableColumn id="18" name="21" totalsRowFunction="sum" dataDxfId="46" totalsRowDxfId="1"/>
    <tableColumn id="19" name="22" totalsRowFunction="sum" dataDxfId="45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V16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1" sqref="I11"/>
    </sheetView>
  </sheetViews>
  <sheetFormatPr defaultColWidth="9.140625" defaultRowHeight="15"/>
  <cols>
    <col min="1" max="1" width="19.85546875" style="10" customWidth="1"/>
    <col min="2" max="22" width="11.7109375" style="10" customWidth="1"/>
    <col min="23" max="16384" width="9.140625" style="10"/>
  </cols>
  <sheetData>
    <row r="2" spans="1:22" ht="16.5" thickBot="1">
      <c r="A2" s="19" t="s">
        <v>5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1" t="s">
        <v>18</v>
      </c>
      <c r="Q2" s="22"/>
      <c r="R2" s="22"/>
      <c r="S2" s="22"/>
      <c r="T2" s="22"/>
      <c r="U2" s="22"/>
      <c r="V2" s="22"/>
    </row>
    <row r="3" spans="1:22" ht="33" customHeight="1">
      <c r="A3" s="23" t="s">
        <v>0</v>
      </c>
      <c r="B3" s="28" t="s">
        <v>9</v>
      </c>
      <c r="C3" s="29"/>
      <c r="D3" s="29"/>
      <c r="E3" s="30"/>
      <c r="F3" s="28" t="s">
        <v>10</v>
      </c>
      <c r="G3" s="29"/>
      <c r="H3" s="29"/>
      <c r="I3" s="30"/>
      <c r="J3" s="28" t="s">
        <v>11</v>
      </c>
      <c r="K3" s="29"/>
      <c r="L3" s="29"/>
      <c r="M3" s="30"/>
      <c r="N3" s="25" t="s">
        <v>12</v>
      </c>
      <c r="O3" s="25"/>
      <c r="P3" s="25"/>
      <c r="Q3" s="25" t="s">
        <v>13</v>
      </c>
      <c r="R3" s="25"/>
      <c r="S3" s="25"/>
      <c r="T3" s="26" t="s">
        <v>14</v>
      </c>
      <c r="U3" s="26"/>
      <c r="V3" s="27"/>
    </row>
    <row r="4" spans="1:22" ht="32.25" thickBot="1">
      <c r="A4" s="24"/>
      <c r="B4" s="12" t="s">
        <v>6</v>
      </c>
      <c r="C4" s="12" t="s">
        <v>7</v>
      </c>
      <c r="D4" s="12" t="s">
        <v>8</v>
      </c>
      <c r="E4" s="12" t="s">
        <v>42</v>
      </c>
      <c r="F4" s="12" t="s">
        <v>6</v>
      </c>
      <c r="G4" s="12" t="s">
        <v>7</v>
      </c>
      <c r="H4" s="12" t="s">
        <v>8</v>
      </c>
      <c r="I4" s="12" t="s">
        <v>42</v>
      </c>
      <c r="J4" s="12" t="s">
        <v>6</v>
      </c>
      <c r="K4" s="12" t="s">
        <v>7</v>
      </c>
      <c r="L4" s="12" t="s">
        <v>8</v>
      </c>
      <c r="M4" s="12" t="s">
        <v>42</v>
      </c>
      <c r="N4" s="12" t="s">
        <v>6</v>
      </c>
      <c r="O4" s="12" t="s">
        <v>7</v>
      </c>
      <c r="P4" s="12" t="s">
        <v>8</v>
      </c>
      <c r="Q4" s="12" t="s">
        <v>6</v>
      </c>
      <c r="R4" s="12" t="s">
        <v>7</v>
      </c>
      <c r="S4" s="12" t="s">
        <v>8</v>
      </c>
      <c r="T4" s="12" t="s">
        <v>6</v>
      </c>
      <c r="U4" s="12" t="s">
        <v>7</v>
      </c>
      <c r="V4" s="13" t="s">
        <v>8</v>
      </c>
    </row>
    <row r="5" spans="1:22" ht="19.5" thickBot="1">
      <c r="A5" s="14" t="s">
        <v>19</v>
      </c>
      <c r="B5" s="15" t="s">
        <v>20</v>
      </c>
      <c r="C5" s="16" t="s">
        <v>21</v>
      </c>
      <c r="D5" s="15" t="s">
        <v>22</v>
      </c>
      <c r="E5" s="16" t="s">
        <v>23</v>
      </c>
      <c r="F5" s="15" t="s">
        <v>24</v>
      </c>
      <c r="G5" s="16" t="s">
        <v>25</v>
      </c>
      <c r="H5" s="15" t="s">
        <v>26</v>
      </c>
      <c r="I5" s="16" t="s">
        <v>27</v>
      </c>
      <c r="J5" s="15" t="s">
        <v>28</v>
      </c>
      <c r="K5" s="16" t="s">
        <v>29</v>
      </c>
      <c r="L5" s="15" t="s">
        <v>30</v>
      </c>
      <c r="M5" s="16" t="s">
        <v>31</v>
      </c>
      <c r="N5" s="15" t="s">
        <v>32</v>
      </c>
      <c r="O5" s="16" t="s">
        <v>33</v>
      </c>
      <c r="P5" s="15" t="s">
        <v>34</v>
      </c>
      <c r="Q5" s="16" t="s">
        <v>35</v>
      </c>
      <c r="R5" s="15" t="s">
        <v>36</v>
      </c>
      <c r="S5" s="16" t="s">
        <v>37</v>
      </c>
      <c r="T5" s="15" t="s">
        <v>39</v>
      </c>
      <c r="U5" s="16" t="s">
        <v>40</v>
      </c>
      <c r="V5" s="36" t="s">
        <v>41</v>
      </c>
    </row>
    <row r="6" spans="1:22" ht="19.5" thickBot="1">
      <c r="A6" s="33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5"/>
      <c r="U6" s="35"/>
      <c r="V6" s="35"/>
    </row>
    <row r="7" spans="1:22" ht="19.5" thickBot="1">
      <c r="A7" s="31" t="s">
        <v>38</v>
      </c>
      <c r="B7" s="32">
        <f>SUBTOTAL(109,[2])</f>
        <v>0</v>
      </c>
      <c r="C7" s="32">
        <f>SUBTOTAL(109,[3])</f>
        <v>0</v>
      </c>
      <c r="D7" s="32">
        <f>SUBTOTAL(109,[4])</f>
        <v>0</v>
      </c>
      <c r="E7" s="32">
        <f>SUBTOTAL(109,[5])</f>
        <v>0</v>
      </c>
      <c r="F7" s="32">
        <f>SUBTOTAL(109,[6])</f>
        <v>0</v>
      </c>
      <c r="G7" s="32">
        <f>SUBTOTAL(109,[7])</f>
        <v>0</v>
      </c>
      <c r="H7" s="32">
        <f>SUBTOTAL(109,[8])</f>
        <v>0</v>
      </c>
      <c r="I7" s="32">
        <f>SUBTOTAL(109,[9])</f>
        <v>0</v>
      </c>
      <c r="J7" s="32">
        <f>SUBTOTAL(109,[10])</f>
        <v>0</v>
      </c>
      <c r="K7" s="32">
        <f>SUBTOTAL(109,[11])</f>
        <v>0</v>
      </c>
      <c r="L7" s="32">
        <f>SUBTOTAL(109,[12])</f>
        <v>0</v>
      </c>
      <c r="M7" s="32">
        <f>SUBTOTAL(109,[13])</f>
        <v>0</v>
      </c>
      <c r="N7" s="32">
        <f>SUBTOTAL(109,[14])</f>
        <v>0</v>
      </c>
      <c r="O7" s="32">
        <f>SUBTOTAL(109,[15])</f>
        <v>0</v>
      </c>
      <c r="P7" s="32">
        <f>SUBTOTAL(109,[16])</f>
        <v>0</v>
      </c>
      <c r="Q7" s="32">
        <f>SUBTOTAL(109,[17])</f>
        <v>0</v>
      </c>
      <c r="R7" s="32">
        <f>SUBTOTAL(109,[18])</f>
        <v>0</v>
      </c>
      <c r="S7" s="32">
        <f>SUBTOTAL(109,[19])</f>
        <v>0</v>
      </c>
      <c r="T7" s="32">
        <f>SUBTOTAL(109,[20])</f>
        <v>0</v>
      </c>
      <c r="U7" s="32">
        <f>SUBTOTAL(109,[21])</f>
        <v>0</v>
      </c>
      <c r="V7" s="37">
        <f>SUBTOTAL(109,[22])</f>
        <v>0</v>
      </c>
    </row>
    <row r="9" spans="1:22">
      <c r="T9" s="5"/>
      <c r="U9" s="6"/>
      <c r="V9" s="5"/>
    </row>
    <row r="10" spans="1:22" ht="18.75">
      <c r="A10" s="2" t="s">
        <v>15</v>
      </c>
    </row>
    <row r="11" spans="1:22" ht="63">
      <c r="A11" s="3" t="s">
        <v>16</v>
      </c>
      <c r="B11" s="4">
        <f>SUM(B12:B15)</f>
        <v>0</v>
      </c>
      <c r="C11" s="3" t="s">
        <v>17</v>
      </c>
      <c r="D11" s="4">
        <f>SUM(D12:D15)</f>
        <v>0</v>
      </c>
      <c r="E11" s="17"/>
      <c r="H11" s="8"/>
      <c r="I11" s="8"/>
      <c r="J11" s="9"/>
    </row>
    <row r="12" spans="1:22" ht="15.75">
      <c r="A12" s="1" t="s">
        <v>1</v>
      </c>
      <c r="B12" s="1">
        <f>B7</f>
        <v>0</v>
      </c>
      <c r="C12" s="11"/>
      <c r="D12" s="1">
        <f>C7</f>
        <v>0</v>
      </c>
      <c r="E12" s="18"/>
      <c r="H12" s="7"/>
      <c r="I12" s="7"/>
      <c r="J12" s="9"/>
    </row>
    <row r="13" spans="1:22" ht="15.75">
      <c r="A13" s="1" t="s">
        <v>2</v>
      </c>
      <c r="B13" s="1">
        <f>F7</f>
        <v>0</v>
      </c>
      <c r="C13" s="11"/>
      <c r="D13" s="1">
        <f>G7</f>
        <v>0</v>
      </c>
      <c r="E13" s="18"/>
      <c r="H13" s="7"/>
      <c r="I13" s="7"/>
      <c r="J13" s="9"/>
    </row>
    <row r="14" spans="1:22" ht="15.75">
      <c r="A14" s="1" t="s">
        <v>3</v>
      </c>
      <c r="B14" s="1">
        <f>J7+Q7</f>
        <v>0</v>
      </c>
      <c r="C14" s="11"/>
      <c r="D14" s="1">
        <f>K7+R7</f>
        <v>0</v>
      </c>
      <c r="E14" s="18"/>
      <c r="H14" s="7"/>
      <c r="I14" s="7"/>
      <c r="J14" s="9"/>
    </row>
    <row r="15" spans="1:22" ht="15.75">
      <c r="A15" s="1" t="s">
        <v>4</v>
      </c>
      <c r="B15" s="1">
        <f>N7+T7</f>
        <v>0</v>
      </c>
      <c r="C15" s="11"/>
      <c r="D15" s="1">
        <f>O7+U7</f>
        <v>0</v>
      </c>
      <c r="E15" s="18"/>
      <c r="H15" s="8"/>
      <c r="I15" s="8"/>
      <c r="J15" s="9"/>
    </row>
    <row r="16" spans="1:22">
      <c r="H16" s="7"/>
      <c r="I16" s="7"/>
      <c r="J16" s="7"/>
      <c r="K16" s="7"/>
      <c r="L16" s="7"/>
      <c r="M16" s="7"/>
    </row>
  </sheetData>
  <mergeCells count="9">
    <mergeCell ref="A2:O2"/>
    <mergeCell ref="P2:V2"/>
    <mergeCell ref="A3:A4"/>
    <mergeCell ref="N3:P3"/>
    <mergeCell ref="Q3:S3"/>
    <mergeCell ref="T3:V3"/>
    <mergeCell ref="B3:E3"/>
    <mergeCell ref="F3:I3"/>
    <mergeCell ref="J3:M3"/>
  </mergeCells>
  <printOptions horizontalCentered="1"/>
  <pageMargins left="0.11811023622047245" right="0.11811023622047245" top="0.55118110236220474" bottom="0.35433070866141736" header="0.31496062992125984" footer="0.31496062992125984"/>
  <pageSetup paperSize="9" scale="62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Итог</vt:lpstr>
      <vt:lpstr>Итог!Область_печати</vt:lpstr>
    </vt:vector>
  </TitlesOfParts>
  <Company>IRAO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q</cp:lastModifiedBy>
  <cp:lastPrinted>2021-09-10T03:37:04Z</cp:lastPrinted>
  <dcterms:created xsi:type="dcterms:W3CDTF">2020-05-21T12:34:24Z</dcterms:created>
  <dcterms:modified xsi:type="dcterms:W3CDTF">2022-06-30T09:56:00Z</dcterms:modified>
</cp:coreProperties>
</file>